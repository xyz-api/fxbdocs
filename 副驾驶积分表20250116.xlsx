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 activeTab="1"/>
  </bookViews>
  <sheets>
    <sheet name="计算说明" sheetId="1" r:id="rId1"/>
    <sheet name="总表" sheetId="2" r:id="rId2"/>
    <sheet name="兼职+帮忙" sheetId="3" r:id="rId3"/>
    <sheet name="经历时间" sheetId="4" r:id="rId4"/>
    <sheet name="西亚报务获得时间" sheetId="5" r:id="rId5"/>
    <sheet name="姓名+分部" sheetId="6" r:id="rId6"/>
    <sheet name="公式说明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fang chen</author>
    <author>yoyof</author>
    <author>龚攀</author>
    <author>何誉杰</author>
  </authors>
  <commentList>
    <comment ref="F1" authorId="0">
      <text>
        <r>
          <rPr>
            <sz val="10"/>
            <rFont val="宋体"/>
            <charset val="134"/>
          </rPr>
          <t xml:space="preserve">批注:
批注:
获得C类副驾驶资格达三个月，具备欧洲和美加报务资格，总分达210分以上，可以流转。
</t>
        </r>
      </text>
    </comment>
    <comment ref="G1" authorId="1">
      <text>
        <r>
          <rPr>
            <sz val="10"/>
            <rFont val="宋体"/>
            <charset val="134"/>
          </rPr>
          <t xml:space="preserve">批注:
批注:
对2018/1/1之后获得A1/A2的非初始改装副驾驶进行B类之前的训练考核
</t>
        </r>
      </text>
    </comment>
    <comment ref="H1" authorId="1">
      <text>
        <r>
          <rPr>
            <sz val="10"/>
            <rFont val="宋体"/>
            <charset val="134"/>
          </rPr>
          <t xml:space="preserve">批注:
批注:
A1转A2考核时间120天
A2转B考核时间390天
</t>
        </r>
      </text>
    </comment>
    <comment ref="K1" authorId="2">
      <text>
        <r>
          <rPr>
            <sz val="10"/>
            <rFont val="宋体"/>
            <charset val="134"/>
          </rPr>
          <t xml:space="preserve">批注:
批注:
A1副驾驶完成不少于25小时飞行经历时间和8次操作飞机起降，申请检查合格后转为A2类副驾驶
</t>
        </r>
      </text>
    </comment>
    <comment ref="N1" authorId="2">
      <text>
        <r>
          <rPr>
            <sz val="10"/>
            <rFont val="宋体"/>
            <charset val="134"/>
          </rPr>
          <t xml:space="preserve">批注:
批注:
1、 A2类初始改装副驾驶在完成不少于50次操纵飞机起降，且飞行经历时间不少于200小时，经检查合格后，可转B类副驾驶。
2、 A2类转机型副驾驶在完成不少于50次操纵飞机起降次数(其中本机型不少于15次)，且飞行经历时间不少于50小时，经检查合格后，取得B类副驾驶资格。
</t>
        </r>
      </text>
    </comment>
    <comment ref="Q1" authorId="2">
      <text>
        <r>
          <rPr>
            <sz val="10"/>
            <rFont val="宋体"/>
            <charset val="134"/>
          </rPr>
          <t xml:space="preserve">批注:
批注:
1、 完成初始训练的B类副驾驶在完成不少于100次总操纵飞机起降（其中夜间操纵飞机起降不少于20次）并经各单位检查合格后，转为C类副驾驶
2、 完成转机型训练B类副驾驶在完成不少于100次总操纵飞机起降次数（其中本机型总操纵飞机起降不少于30次，其中夜间操纵飞机起降不少于10次）并经各单位检查合格后，转为C类副驾驶
</t>
        </r>
      </text>
    </comment>
    <comment ref="R1" authorId="2">
      <text>
        <r>
          <rPr>
            <sz val="10"/>
            <rFont val="宋体"/>
            <charset val="134"/>
          </rPr>
          <t xml:space="preserve">批注:
批注:
1、 C类初始改装副驾驶在完成不少于150次总操纵飞机起降（其中夜间操纵飞机起降不少于30次），经检查合格后，取得D1类副驾驶资格。
2、 C类转机型副驾驶在完成不少于150次总操纵飞机起降（其中本机型操纵飞机起降不少于60次，夜间操纵飞机起降不少于20次），经检查合格后，取得D1类副驾驶资格。
</t>
        </r>
      </text>
    </comment>
    <comment ref="AX14" authorId="3">
      <text>
        <r>
          <rPr>
            <sz val="10"/>
            <rFont val="宋体"/>
            <charset val="134"/>
          </rPr>
          <t>何誉杰:
2024.3美加报务检查未通过</t>
        </r>
      </text>
    </comment>
    <comment ref="AX22" authorId="3">
      <text>
        <r>
          <rPr>
            <sz val="10"/>
            <rFont val="宋体"/>
            <charset val="134"/>
          </rPr>
          <t>何誉杰:
2024.4美加报务检查未通过</t>
        </r>
      </text>
    </comment>
    <comment ref="AX31" authorId="3">
      <text>
        <r>
          <rPr>
            <sz val="10"/>
            <rFont val="宋体"/>
            <charset val="134"/>
          </rPr>
          <t>何誉杰:
2024.6美加报务检查未通过</t>
        </r>
      </text>
    </comment>
    <comment ref="AX34" authorId="3">
      <text>
        <r>
          <rPr>
            <sz val="10"/>
            <rFont val="宋体"/>
            <charset val="134"/>
          </rPr>
          <t>何誉杰:
2024.5转B副航检第一次不通过</t>
        </r>
      </text>
    </comment>
    <comment ref="AX37" authorId="3">
      <text>
        <r>
          <rPr>
            <sz val="10"/>
            <rFont val="宋体"/>
            <charset val="134"/>
          </rPr>
          <t>何誉杰:
2024.5美加报务检查未通过</t>
        </r>
      </text>
    </comment>
    <comment ref="AX48" authorId="3">
      <text>
        <r>
          <rPr>
            <sz val="10"/>
            <rFont val="宋体"/>
            <charset val="134"/>
          </rPr>
          <t>何誉杰:
2024.3欧洲报务检查未通过</t>
        </r>
      </text>
    </comment>
    <comment ref="AX61" authorId="3">
      <text>
        <r>
          <rPr>
            <sz val="10"/>
            <rFont val="宋体"/>
            <charset val="134"/>
          </rPr>
          <t>何誉杰:
2024.6欧洲报务检查未通过</t>
        </r>
      </text>
    </comment>
  </commentList>
</comments>
</file>

<file path=xl/comments2.xml><?xml version="1.0" encoding="utf-8"?>
<comments xmlns="http://schemas.openxmlformats.org/spreadsheetml/2006/main">
  <authors>
    <author>何誉杰</author>
    <author>Administrator</author>
  </authors>
  <commentList>
    <comment ref="C1" authorId="0">
      <text>
        <r>
          <rPr>
            <sz val="10"/>
            <rFont val="宋体"/>
            <charset val="134"/>
          </rPr>
          <t>何誉杰:
保证飞行安全，经公司认定给予奖励的，参考《航空安全管理手册》中奖励幅度确定加分，按照奖励幅度加分封顶为重大（10 分）、突出（5 分）、一般（2 分）</t>
        </r>
      </text>
    </comment>
    <comment ref="I2" authorId="0">
      <text>
        <r>
          <rPr>
            <sz val="10"/>
            <rFont val="宋体"/>
            <charset val="134"/>
          </rPr>
          <t>何誉杰:
积极参与新闻宣传报道工作，文稿被公司级别媒体采纳的，一次加 0.5 分；被公司以上 级别媒体采纳的，一次加 1 分（若同一篇稿件被多个媒体刊物刊载，取最高分值加分）。</t>
        </r>
      </text>
    </comment>
    <comment ref="K2" authorId="0">
      <text>
        <r>
          <rPr>
            <sz val="10"/>
            <rFont val="宋体"/>
            <charset val="134"/>
          </rPr>
          <t>何誉杰:
担任正副班组长每月加 1 分/人</t>
        </r>
      </text>
    </comment>
    <comment ref="M2" authorId="0">
      <text>
        <r>
          <rPr>
            <sz val="10"/>
            <rFont val="宋体"/>
            <charset val="134"/>
          </rPr>
          <t>何誉杰:
副驾驶协助南货航前场值班，每天加 0.1 分/人</t>
        </r>
      </text>
    </comment>
    <comment ref="O2" authorId="0">
      <text>
        <r>
          <rPr>
            <sz val="10"/>
            <rFont val="宋体"/>
            <charset val="134"/>
          </rPr>
          <t>何誉杰:
协助南货航其他行政、党务、工会工作（例如防疫类工作），每月封顶加 1 分/人</t>
        </r>
      </text>
    </comment>
    <comment ref="Q2" authorId="0">
      <text>
        <r>
          <rPr>
            <sz val="10"/>
            <rFont val="宋体"/>
            <charset val="134"/>
          </rPr>
          <t>何誉杰:
各分部每 季度可另外分配积分 45 分</t>
        </r>
      </text>
    </comment>
    <comment ref="S2" authorId="0">
      <text>
        <r>
          <rPr>
            <sz val="10"/>
            <rFont val="宋体"/>
            <charset val="134"/>
          </rPr>
          <t>何誉杰:
南货航运行训练室和安全技术室每季度可另外分配积分 15 分</t>
        </r>
      </text>
    </comment>
    <comment ref="W2" authorId="0">
      <text>
        <r>
          <rPr>
            <sz val="10"/>
            <rFont val="宋体"/>
            <charset val="134"/>
          </rPr>
          <t>何誉杰:
南货航运行训练室和安全技术室每季度可另外分配积分 15 分</t>
        </r>
      </text>
    </comment>
    <comment ref="C24" authorId="1">
      <text>
        <r>
          <rPr>
            <sz val="10"/>
            <rFont val="宋体"/>
            <charset val="134"/>
          </rPr>
          <t>Administrator:
2024年7月14日，执行 CZ2547（深圳-安克雷奇）航班，在仁川区域正确处置空中冲突。</t>
        </r>
      </text>
    </comment>
  </commentList>
</comments>
</file>

<file path=xl/sharedStrings.xml><?xml version="1.0" encoding="utf-8"?>
<sst xmlns="http://schemas.openxmlformats.org/spreadsheetml/2006/main" count="2093" uniqueCount="722">
  <si>
    <t>副驾驶流转积分计算方式</t>
  </si>
  <si>
    <t>副驾驶从学员到可流转状态的全过程培训积分计算，积分由12个部分组成，总分需达到210分以上才可能流转</t>
  </si>
  <si>
    <t>积分类别</t>
  </si>
  <si>
    <t>计分标准</t>
  </si>
  <si>
    <t>1. 改装理论</t>
  </si>
  <si>
    <t>一次通过得5分，否则0分</t>
  </si>
  <si>
    <t>2. 改装模拟机</t>
  </si>
  <si>
    <t>一次通过得10分，否则0分</t>
  </si>
  <si>
    <t>3. 改装本场</t>
  </si>
  <si>
    <t>4. B类运行</t>
  </si>
  <si>
    <t>每运行1个月得3分</t>
  </si>
  <si>
    <t>5. C类运行</t>
  </si>
  <si>
    <t>每运行1个月得6分</t>
  </si>
  <si>
    <t>6. 欧洲报务</t>
  </si>
  <si>
    <t>获得资质10分+每月6分</t>
  </si>
  <si>
    <t>7. 美加报务</t>
  </si>
  <si>
    <t>8. 西亚报务</t>
  </si>
  <si>
    <t>9. 飞行经历</t>
  </si>
  <si>
    <t>C级后总经历时间×0.1</t>
  </si>
  <si>
    <t>10. 历史分</t>
  </si>
  <si>
    <t>历史遗留分数，早期表格维护人加扣分总和，维持原状</t>
  </si>
  <si>
    <t>11. 扣分项</t>
  </si>
  <si>
    <t>违规扣分等</t>
  </si>
  <si>
    <t>12. 加分项</t>
  </si>
  <si>
    <t>帮忙等额外加分，职员加10/月，兼职加5/月，临时帮忙酌情而定</t>
  </si>
  <si>
    <t>流转条件</t>
  </si>
  <si>
    <t>总积分必须大于210分</t>
  </si>
  <si>
    <t>必须达到C级技术等级</t>
  </si>
  <si>
    <t>必须获得欧洲报务资质</t>
  </si>
  <si>
    <t>必须获得美加报务资质</t>
  </si>
  <si>
    <t>本机型运行必须超过48个月</t>
  </si>
  <si>
    <t>C类运行必须超过3个月</t>
  </si>
  <si>
    <t>员工号</t>
  </si>
  <si>
    <t>姓名</t>
  </si>
  <si>
    <t>分部</t>
  </si>
  <si>
    <t>最新等级</t>
  </si>
  <si>
    <t>积分排名</t>
  </si>
  <si>
    <t>培训状态</t>
  </si>
  <si>
    <t>考核项目</t>
  </si>
  <si>
    <t>进度预警</t>
  </si>
  <si>
    <t>A1</t>
  </si>
  <si>
    <t>转A2阶段时长</t>
  </si>
  <si>
    <t>A2</t>
  </si>
  <si>
    <t>转B总时长</t>
  </si>
  <si>
    <t>转B阶段时长</t>
  </si>
  <si>
    <t>B</t>
  </si>
  <si>
    <t>转C总时长</t>
  </si>
  <si>
    <t>转C阶段时长</t>
  </si>
  <si>
    <t>C</t>
  </si>
  <si>
    <t>D</t>
  </si>
  <si>
    <t>欧洲报务培训时长</t>
  </si>
  <si>
    <t>欧洲报务</t>
  </si>
  <si>
    <t>美加报务培训时长</t>
  </si>
  <si>
    <t>美加报务</t>
  </si>
  <si>
    <t>西亚报务培训时长</t>
  </si>
  <si>
    <t>西亚报务</t>
  </si>
  <si>
    <t>总分</t>
  </si>
  <si>
    <t>改装理论一次通过</t>
  </si>
  <si>
    <t>分数</t>
  </si>
  <si>
    <t>改装模拟机一次通过</t>
  </si>
  <si>
    <t>改装本场一次通过</t>
  </si>
  <si>
    <t>技术等级A2-D</t>
  </si>
  <si>
    <t>B类运行月数</t>
  </si>
  <si>
    <t>C类运行月数</t>
  </si>
  <si>
    <t>欧洲报务月数</t>
  </si>
  <si>
    <t>美加报务月数</t>
  </si>
  <si>
    <t>西亚报务月数</t>
  </si>
  <si>
    <t>总经历时间</t>
  </si>
  <si>
    <t>经历时间得分</t>
  </si>
  <si>
    <t>本机型
运行月数</t>
  </si>
  <si>
    <t>历史</t>
  </si>
  <si>
    <t>扣分项</t>
  </si>
  <si>
    <t>加分项</t>
  </si>
  <si>
    <t>更新说明</t>
  </si>
  <si>
    <t>李晋诣</t>
  </si>
  <si>
    <t>是</t>
  </si>
  <si>
    <t>2025.9.15更新，截止2025年8月底，职员/兼职的分已经从头开始加上了，后续需要分部定期提供加分项。</t>
  </si>
  <si>
    <t>周永富</t>
  </si>
  <si>
    <t>2025.9.16新增谢源的帮忙加分，修复了“经历时间得分”的计算。</t>
  </si>
  <si>
    <t>李鹏</t>
  </si>
  <si>
    <t>2025.10.16职员加分改为10分/月，兼职加分改5分/月</t>
  </si>
  <si>
    <t>陈利勤</t>
  </si>
  <si>
    <t>2025.11.12更新了9月，10月技术等级，更新了总经历时间</t>
  </si>
  <si>
    <t>王若飞</t>
  </si>
  <si>
    <t>2026.1.6新增了公式说明，新增卢元俊的兼职帮忙加分</t>
  </si>
  <si>
    <t>卢元俊</t>
  </si>
  <si>
    <t>2026.1.12归档了2026之前的加分记录</t>
  </si>
  <si>
    <t>余希</t>
  </si>
  <si>
    <t>2026.1.16新增周锐豪 仁泽尧 罗浩诚运训室帮忙，从2026.1.1开始计算</t>
  </si>
  <si>
    <t>任泽尧</t>
  </si>
  <si>
    <t>欧阳文威</t>
  </si>
  <si>
    <t>唐鑫魁</t>
  </si>
  <si>
    <t>傅燧旭</t>
  </si>
  <si>
    <t>全棣伟</t>
  </si>
  <si>
    <t>黄俊豪</t>
  </si>
  <si>
    <t>覃盼阳</t>
  </si>
  <si>
    <t>刘展亮</t>
  </si>
  <si>
    <t>沙思丞</t>
  </si>
  <si>
    <t>陈伟雄</t>
  </si>
  <si>
    <t>吴润雨</t>
  </si>
  <si>
    <t>吴振鹏</t>
  </si>
  <si>
    <t>李泰成</t>
  </si>
  <si>
    <t>李少钦</t>
  </si>
  <si>
    <t>温健</t>
  </si>
  <si>
    <t>谢旭纬</t>
  </si>
  <si>
    <t>袁珂</t>
  </si>
  <si>
    <t>陈伯楠</t>
  </si>
  <si>
    <t>张星远</t>
  </si>
  <si>
    <t>胡金鑫</t>
  </si>
  <si>
    <t>王程乾</t>
  </si>
  <si>
    <t>邓汉昕</t>
  </si>
  <si>
    <t>李天诚</t>
  </si>
  <si>
    <t>谢源</t>
  </si>
  <si>
    <t>车有路</t>
  </si>
  <si>
    <t>沈铭</t>
  </si>
  <si>
    <t>否</t>
  </si>
  <si>
    <t>肖剑鹏</t>
  </si>
  <si>
    <t>姜泽</t>
  </si>
  <si>
    <t>周诗健</t>
  </si>
  <si>
    <t>陈俊</t>
  </si>
  <si>
    <t>何立军</t>
  </si>
  <si>
    <t>刘洋</t>
  </si>
  <si>
    <t>周锐豪</t>
  </si>
  <si>
    <t>陈兆铭</t>
  </si>
  <si>
    <t>黄炳昊</t>
  </si>
  <si>
    <t>彭田</t>
  </si>
  <si>
    <t>梁华杨</t>
  </si>
  <si>
    <t>陈祥琛</t>
  </si>
  <si>
    <t>周浩良</t>
  </si>
  <si>
    <t>王晨旭</t>
  </si>
  <si>
    <t>苏逸海</t>
  </si>
  <si>
    <t>田凯文</t>
  </si>
  <si>
    <t>王瑞丰</t>
  </si>
  <si>
    <t>尹培玉</t>
  </si>
  <si>
    <t>唐健翔</t>
  </si>
  <si>
    <t>薛力文</t>
  </si>
  <si>
    <t>朱戈昊</t>
  </si>
  <si>
    <t>周琛</t>
  </si>
  <si>
    <t>陈嘉龙</t>
  </si>
  <si>
    <t>薛京亮</t>
  </si>
  <si>
    <t>袁英杰</t>
  </si>
  <si>
    <t>李振洋</t>
  </si>
  <si>
    <t>张义涛</t>
  </si>
  <si>
    <t>周富邦</t>
  </si>
  <si>
    <t>杨大锋</t>
  </si>
  <si>
    <t>陈致远</t>
  </si>
  <si>
    <t>王熠铭</t>
  </si>
  <si>
    <t>黄家和</t>
  </si>
  <si>
    <t>尹翔</t>
  </si>
  <si>
    <t>林锦源</t>
  </si>
  <si>
    <t>唐选尧</t>
  </si>
  <si>
    <t>卢勇成</t>
  </si>
  <si>
    <t>杨登科</t>
  </si>
  <si>
    <t>曹旭泉</t>
  </si>
  <si>
    <t>章辉</t>
  </si>
  <si>
    <t>陈振浩</t>
  </si>
  <si>
    <t>朱丹浩</t>
  </si>
  <si>
    <t>戴永康</t>
  </si>
  <si>
    <t>陈子其</t>
  </si>
  <si>
    <t>刘镇毓</t>
  </si>
  <si>
    <t>张靖博</t>
  </si>
  <si>
    <t>马天浩</t>
  </si>
  <si>
    <t>祁迪</t>
  </si>
  <si>
    <t>岑健勇</t>
  </si>
  <si>
    <t>张龙龙</t>
  </si>
  <si>
    <t>刘智博</t>
  </si>
  <si>
    <t>闫文平</t>
  </si>
  <si>
    <t>付浩东</t>
  </si>
  <si>
    <t>莫帏帏</t>
  </si>
  <si>
    <t>庞凌博</t>
  </si>
  <si>
    <t>王年鹏</t>
  </si>
  <si>
    <t>彭雪峰</t>
  </si>
  <si>
    <t>杨帮翔</t>
  </si>
  <si>
    <t>崔书宝</t>
  </si>
  <si>
    <t>朱珉君</t>
  </si>
  <si>
    <t>华显涛</t>
  </si>
  <si>
    <t>陈柏言</t>
  </si>
  <si>
    <t>陈健</t>
  </si>
  <si>
    <t>付杰明</t>
  </si>
  <si>
    <t>周桐</t>
  </si>
  <si>
    <t>刘育辰</t>
  </si>
  <si>
    <t>曾渝浩</t>
  </si>
  <si>
    <t>韩宇航</t>
  </si>
  <si>
    <t>朱灿仪</t>
  </si>
  <si>
    <t>刘观正</t>
  </si>
  <si>
    <t>龙永峰</t>
  </si>
  <si>
    <t>杨文渊</t>
  </si>
  <si>
    <t>路舜锋</t>
  </si>
  <si>
    <t>张鑫豪</t>
  </si>
  <si>
    <t>胡雨辰</t>
  </si>
  <si>
    <t>蒋佩霖</t>
  </si>
  <si>
    <t>蒋元成</t>
  </si>
  <si>
    <t>何鹏程</t>
  </si>
  <si>
    <t>洪昭</t>
  </si>
  <si>
    <t>曹宏博</t>
  </si>
  <si>
    <t>赵宇航</t>
  </si>
  <si>
    <t>刘千里</t>
  </si>
  <si>
    <t>胡博</t>
  </si>
  <si>
    <t>张小康</t>
  </si>
  <si>
    <t>李恩豪</t>
  </si>
  <si>
    <t>黄捷</t>
  </si>
  <si>
    <t>蒙炳志</t>
  </si>
  <si>
    <t>郑杰</t>
  </si>
  <si>
    <t>陈昭旻</t>
  </si>
  <si>
    <t>王金宇</t>
  </si>
  <si>
    <t>李嘉杰</t>
  </si>
  <si>
    <t>杨鲲鹏</t>
  </si>
  <si>
    <t>文强</t>
  </si>
  <si>
    <t>滕兆麟</t>
  </si>
  <si>
    <t>许哲华</t>
  </si>
  <si>
    <t>钟金宏</t>
  </si>
  <si>
    <t>王子林</t>
  </si>
  <si>
    <t>黄兴</t>
  </si>
  <si>
    <t>周国正</t>
  </si>
  <si>
    <t>张成</t>
  </si>
  <si>
    <t>袁皓华</t>
  </si>
  <si>
    <t>二分部</t>
  </si>
  <si>
    <t>吴伟彬</t>
  </si>
  <si>
    <t>一分部</t>
  </si>
  <si>
    <t>蓝锦坚</t>
  </si>
  <si>
    <t>米磊</t>
  </si>
  <si>
    <t>郭勇</t>
  </si>
  <si>
    <t>罗建峰</t>
  </si>
  <si>
    <t>田庭</t>
  </si>
  <si>
    <t>罗飞</t>
  </si>
  <si>
    <t>陈坤淋</t>
  </si>
  <si>
    <t>张釜浩</t>
  </si>
  <si>
    <t>三分部</t>
  </si>
  <si>
    <t>于鄢龙</t>
  </si>
  <si>
    <t>苏晓文</t>
  </si>
  <si>
    <t>杨世榕</t>
  </si>
  <si>
    <t>朱慕杰</t>
  </si>
  <si>
    <t>谭慧明</t>
  </si>
  <si>
    <t>叶科兴</t>
  </si>
  <si>
    <t>安全奖励加分</t>
  </si>
  <si>
    <t>行政、党务、工会表现加分</t>
  </si>
  <si>
    <t>科室加分</t>
  </si>
  <si>
    <t>汇总</t>
  </si>
  <si>
    <t>重大</t>
  </si>
  <si>
    <t>10分</t>
  </si>
  <si>
    <t>突出</t>
  </si>
  <si>
    <t>5分</t>
  </si>
  <si>
    <t>一般</t>
  </si>
  <si>
    <t>2分</t>
  </si>
  <si>
    <t>宣传工作</t>
  </si>
  <si>
    <t>加分</t>
  </si>
  <si>
    <t>担任班组长</t>
  </si>
  <si>
    <t>协助前场值班</t>
  </si>
  <si>
    <t>其他工作</t>
  </si>
  <si>
    <t>分部季度加分</t>
  </si>
  <si>
    <t>安技室(或安监部)</t>
  </si>
  <si>
    <t>开始时间</t>
  </si>
  <si>
    <t>累计时长</t>
  </si>
  <si>
    <t>运训室</t>
  </si>
  <si>
    <t>历史明细</t>
  </si>
  <si>
    <t>历史加分</t>
  </si>
  <si>
    <t>所有年份总分</t>
  </si>
  <si>
    <t>从2021.1.1至2026.3.1协助安技室开展工作，加630分</t>
  </si>
  <si>
    <t>协助运训室开展工作</t>
  </si>
  <si>
    <t>协助训练安排工作</t>
  </si>
  <si>
    <t>仁泽尧</t>
  </si>
  <si>
    <t>罗浩诚</t>
  </si>
  <si>
    <t>从2021.10.1至2026.3.1协助安监部开展工作，加540分</t>
  </si>
  <si>
    <t>2023制作安康杯宣传片、制作飞行部航前航后流程宣传片，2023年北美航线安康杯竞赛选手，从2021.10.1至2026.3.1协助安监部开展工作，加540分</t>
  </si>
  <si>
    <t>换季学习、线下CRM安排</t>
  </si>
  <si>
    <t>换季学习、ICAO英语考试</t>
  </si>
  <si>
    <t>2022.6-2024.5</t>
  </si>
  <si>
    <t>2022年南航物流优秀共青团员、2023五佳副驾驶</t>
  </si>
  <si>
    <t>协助qar项目组开展工作</t>
  </si>
  <si>
    <t>总师办值班</t>
  </si>
  <si>
    <t>QAR事件监控、广-浦-stn航线手册、作风量化方案编写</t>
  </si>
  <si>
    <t>2022年7月-2024年3月qar项目组、月例会材料开展工作，后来是职员，分段计算</t>
  </si>
  <si>
    <t>协助安技室工作，北美航线安康杯竞赛选手</t>
  </si>
  <si>
    <t>协助安技室工作，南航视窗投稿</t>
  </si>
  <si>
    <t>协助QAR工作</t>
  </si>
  <si>
    <t>CRM训练安排</t>
  </si>
  <si>
    <t>广-浦-stn航线手册</t>
  </si>
  <si>
    <t>236217</t>
  </si>
  <si>
    <t>协助安技室工作</t>
  </si>
  <si>
    <t>欧洲航线知识授课</t>
  </si>
  <si>
    <t>北美航线安康杯竞赛选手</t>
  </si>
  <si>
    <t>协助填写各类培训记录</t>
  </si>
  <si>
    <t>2024年7月14日，执行 CZ2547（深圳-安克雷奇）航班，在仁川区域正确处置空中冲突。</t>
  </si>
  <si>
    <t>安全信息和风险工作组值班</t>
  </si>
  <si>
    <t>制作圣卢凯的航线实录课件</t>
  </si>
  <si>
    <t>健康指数统计</t>
  </si>
  <si>
    <t>飞行经历</t>
  </si>
  <si>
    <t>刘帅</t>
  </si>
  <si>
    <t>刘信</t>
  </si>
  <si>
    <t>白帆</t>
  </si>
  <si>
    <t>黄磊</t>
  </si>
  <si>
    <t>汪润泽</t>
  </si>
  <si>
    <t>张子硕</t>
  </si>
  <si>
    <t>万木春</t>
  </si>
  <si>
    <t>税毅</t>
  </si>
  <si>
    <t>任文煜</t>
  </si>
  <si>
    <t>张怡君</t>
  </si>
  <si>
    <t>胡轩铭</t>
  </si>
  <si>
    <t>检查项</t>
  </si>
  <si>
    <t>检查日期</t>
  </si>
  <si>
    <t>西亚和撒哈拉以北的非洲区域英语通信资格</t>
  </si>
  <si>
    <t>熊寅</t>
  </si>
  <si>
    <t>伍文彬</t>
  </si>
  <si>
    <t>李星龙</t>
  </si>
  <si>
    <t>夏晴</t>
  </si>
  <si>
    <t>姚诚</t>
  </si>
  <si>
    <t>王一鸣</t>
  </si>
  <si>
    <t>李宁</t>
  </si>
  <si>
    <t>仪少丰</t>
  </si>
  <si>
    <t>蒋冬冀</t>
  </si>
  <si>
    <t>方辰</t>
  </si>
  <si>
    <t>吴焱</t>
  </si>
  <si>
    <t>谭健</t>
  </si>
  <si>
    <t>周翔</t>
  </si>
  <si>
    <t>白炜</t>
  </si>
  <si>
    <t>梁海</t>
  </si>
  <si>
    <t>黄文豪</t>
  </si>
  <si>
    <t>石桂平</t>
  </si>
  <si>
    <t>刘小伟</t>
  </si>
  <si>
    <t>李映宏</t>
  </si>
  <si>
    <t>肖一</t>
  </si>
  <si>
    <t>梁原</t>
  </si>
  <si>
    <t>麦斯云</t>
  </si>
  <si>
    <t>胡晋卓</t>
  </si>
  <si>
    <t>谢毅</t>
  </si>
  <si>
    <t>杨卫疆</t>
  </si>
  <si>
    <t>田鹏</t>
  </si>
  <si>
    <t>傅安</t>
  </si>
  <si>
    <t>王玉潮</t>
  </si>
  <si>
    <t>程春林</t>
  </si>
  <si>
    <t>杨卫伟</t>
  </si>
  <si>
    <t>李杰</t>
  </si>
  <si>
    <t>乔进斌</t>
  </si>
  <si>
    <t>肖宗恒</t>
  </si>
  <si>
    <t>张学培</t>
  </si>
  <si>
    <t>郭岛</t>
  </si>
  <si>
    <t>张晓军</t>
  </si>
  <si>
    <t>宋云龙</t>
  </si>
  <si>
    <t>冯宁</t>
  </si>
  <si>
    <t>周亮</t>
  </si>
  <si>
    <t>于炳贤</t>
  </si>
  <si>
    <t>黄淳</t>
  </si>
  <si>
    <t>石智龙</t>
  </si>
  <si>
    <t>钱树桐</t>
  </si>
  <si>
    <t>向宇宽</t>
  </si>
  <si>
    <t>蒋仲春</t>
  </si>
  <si>
    <t>叶茂</t>
  </si>
  <si>
    <t>陈宇</t>
  </si>
  <si>
    <t>许伟东</t>
  </si>
  <si>
    <t>梁志龙</t>
  </si>
  <si>
    <t>赵铁锋</t>
  </si>
  <si>
    <t>邢晓楠</t>
  </si>
  <si>
    <t>覃汉志</t>
  </si>
  <si>
    <t>陈良</t>
  </si>
  <si>
    <t>王军锋</t>
  </si>
  <si>
    <t>张鹏</t>
  </si>
  <si>
    <t>张剑</t>
  </si>
  <si>
    <t>张岭</t>
  </si>
  <si>
    <t>季韬</t>
  </si>
  <si>
    <t>王峰</t>
  </si>
  <si>
    <t>单国强</t>
  </si>
  <si>
    <t>李德秋</t>
  </si>
  <si>
    <t>陈进军</t>
  </si>
  <si>
    <t>何晓东</t>
  </si>
  <si>
    <t>孟庆荣</t>
  </si>
  <si>
    <t>崔建伟</t>
  </si>
  <si>
    <t>唐兴旺</t>
  </si>
  <si>
    <t>吴捷</t>
  </si>
  <si>
    <t>王锐</t>
  </si>
  <si>
    <t>马堃锭</t>
  </si>
  <si>
    <t>何兆麒</t>
  </si>
  <si>
    <t>唐龙</t>
  </si>
  <si>
    <t>周海军</t>
  </si>
  <si>
    <t>周峻</t>
  </si>
  <si>
    <t>高炜</t>
  </si>
  <si>
    <t>刘立华</t>
  </si>
  <si>
    <t>王晓龙</t>
  </si>
  <si>
    <t>张吉</t>
  </si>
  <si>
    <t>闫珺熠</t>
  </si>
  <si>
    <t>张佳霖</t>
  </si>
  <si>
    <t>曹顺强</t>
  </si>
  <si>
    <t>李东</t>
  </si>
  <si>
    <t>宾恩辉</t>
  </si>
  <si>
    <t>徐弋</t>
  </si>
  <si>
    <t>冀文龙</t>
  </si>
  <si>
    <t>张勇</t>
  </si>
  <si>
    <t>Jochen Etienne L DE WISPELAERE</t>
  </si>
  <si>
    <t>Jan HRASKO</t>
  </si>
  <si>
    <t>孙玉虎</t>
  </si>
  <si>
    <t>刘源</t>
  </si>
  <si>
    <t>高鹏飞</t>
  </si>
  <si>
    <t>陶炼</t>
  </si>
  <si>
    <t>李春平</t>
  </si>
  <si>
    <t>沈欣</t>
  </si>
  <si>
    <t>朱嘉俊</t>
  </si>
  <si>
    <t>孙世峰</t>
  </si>
  <si>
    <t>彭程</t>
  </si>
  <si>
    <t>冯志权</t>
  </si>
  <si>
    <t>杜虎</t>
  </si>
  <si>
    <t>李旭波</t>
  </si>
  <si>
    <t>卢晋勋</t>
  </si>
  <si>
    <t>张长伟</t>
  </si>
  <si>
    <t>许宁</t>
  </si>
  <si>
    <t>蒋学隆</t>
  </si>
  <si>
    <t>叶锐章</t>
  </si>
  <si>
    <t>张冀</t>
  </si>
  <si>
    <t>龚智龙</t>
  </si>
  <si>
    <t>王彤阳</t>
  </si>
  <si>
    <t>刘中</t>
  </si>
  <si>
    <t>陆奕就</t>
  </si>
  <si>
    <t>吴鹏军</t>
  </si>
  <si>
    <t>李震涛</t>
  </si>
  <si>
    <t>邓龙</t>
  </si>
  <si>
    <t>邓恺頔</t>
  </si>
  <si>
    <t>张祺</t>
  </si>
  <si>
    <t>刘超群</t>
  </si>
  <si>
    <t>连彦辉</t>
  </si>
  <si>
    <t>黄浩</t>
  </si>
  <si>
    <t>王阳</t>
  </si>
  <si>
    <t>薛杨</t>
  </si>
  <si>
    <t>张琪</t>
  </si>
  <si>
    <t>罗竣艺</t>
  </si>
  <si>
    <t>蒋文斌</t>
  </si>
  <si>
    <t>王佳楠</t>
  </si>
  <si>
    <t>尤晓</t>
  </si>
  <si>
    <t>王琦</t>
  </si>
  <si>
    <t>高思宇</t>
  </si>
  <si>
    <t>张雨</t>
  </si>
  <si>
    <t>胡佳欣</t>
  </si>
  <si>
    <t>万勋</t>
  </si>
  <si>
    <t>刚二辉</t>
  </si>
  <si>
    <t>赵子超</t>
  </si>
  <si>
    <t>Olivier Jean Y.SCHDANOFF</t>
  </si>
  <si>
    <t>Michiel Wouter Sebastiaan SCHOUTEN</t>
  </si>
  <si>
    <t>杨昊</t>
  </si>
  <si>
    <t>高志伟</t>
  </si>
  <si>
    <t>李益丞</t>
  </si>
  <si>
    <t>王志勋</t>
  </si>
  <si>
    <t>丁汀</t>
  </si>
  <si>
    <t>钟晨光</t>
  </si>
  <si>
    <t>黄超群</t>
  </si>
  <si>
    <t>王麒皓</t>
  </si>
  <si>
    <t>史东</t>
  </si>
  <si>
    <t>余俊</t>
  </si>
  <si>
    <t>王靖江</t>
  </si>
  <si>
    <t>钱少龙</t>
  </si>
  <si>
    <t>莫文龙</t>
  </si>
  <si>
    <t>冯涛</t>
  </si>
  <si>
    <t>萧瑞胜</t>
  </si>
  <si>
    <t>田先进</t>
  </si>
  <si>
    <t>韩龙</t>
  </si>
  <si>
    <t>李灿</t>
  </si>
  <si>
    <t>王聪</t>
  </si>
  <si>
    <t>张竞怡</t>
  </si>
  <si>
    <t>盛况</t>
  </si>
  <si>
    <t>陆飞</t>
  </si>
  <si>
    <t>张寒义</t>
  </si>
  <si>
    <t>王家骝</t>
  </si>
  <si>
    <t>朱皓</t>
  </si>
  <si>
    <t>张展鹏</t>
  </si>
  <si>
    <t>崔玉柱</t>
  </si>
  <si>
    <t>张丹魁</t>
  </si>
  <si>
    <t>刘桢良</t>
  </si>
  <si>
    <t>李晓波</t>
  </si>
  <si>
    <t>李健</t>
  </si>
  <si>
    <t>郭春阳</t>
  </si>
  <si>
    <t>孙筱鉴</t>
  </si>
  <si>
    <t>唐浩林</t>
  </si>
  <si>
    <t>周思宁</t>
  </si>
  <si>
    <t>王尧</t>
  </si>
  <si>
    <t>马勇</t>
  </si>
  <si>
    <t>白永亮</t>
  </si>
  <si>
    <t>赵亚伟</t>
  </si>
  <si>
    <t>徐昇</t>
  </si>
  <si>
    <t>卢彦来</t>
  </si>
  <si>
    <t>姚剑鸣</t>
  </si>
  <si>
    <t>贺万强</t>
  </si>
  <si>
    <t>覃文添</t>
  </si>
  <si>
    <t>陈建立</t>
  </si>
  <si>
    <t>唐宁锟</t>
  </si>
  <si>
    <t>朱磊</t>
  </si>
  <si>
    <t>颜瑞安</t>
  </si>
  <si>
    <t>徐海锋</t>
  </si>
  <si>
    <t>张亚朋</t>
  </si>
  <si>
    <t>安阳</t>
  </si>
  <si>
    <t>武中杰</t>
  </si>
  <si>
    <t>陈玺</t>
  </si>
  <si>
    <t>程熊</t>
  </si>
  <si>
    <t>赵晓舟</t>
  </si>
  <si>
    <t>田权龙</t>
  </si>
  <si>
    <t>副驾驶积分表 - 公式说明文档（以李晋诣为例）</t>
  </si>
  <si>
    <t>一、基础数据（需手工录入的列）</t>
  </si>
  <si>
    <t>列</t>
  </si>
  <si>
    <t>表头</t>
  </si>
  <si>
    <t>李晋诣的值</t>
  </si>
  <si>
    <t>说明</t>
  </si>
  <si>
    <t>A</t>
  </si>
  <si>
    <t>员工唯一编号</t>
  </si>
  <si>
    <t>员工姓名</t>
  </si>
  <si>
    <t>I</t>
  </si>
  <si>
    <t>A1等级获得日期（入职日期）</t>
  </si>
  <si>
    <t>K</t>
  </si>
  <si>
    <t>A2等级获得日期</t>
  </si>
  <si>
    <t>N</t>
  </si>
  <si>
    <t>B等级获得日期</t>
  </si>
  <si>
    <t>Q</t>
  </si>
  <si>
    <t>C等级获得日期</t>
  </si>
  <si>
    <t>R</t>
  </si>
  <si>
    <t>D等级获得日期</t>
  </si>
  <si>
    <t>T</t>
  </si>
  <si>
    <t>获得欧洲报务资质的日期</t>
  </si>
  <si>
    <t>V</t>
  </si>
  <si>
    <t>获得美加报务资质的日期</t>
  </si>
  <si>
    <t>X</t>
  </si>
  <si>
    <t>获得西亚报务资质的日期</t>
  </si>
  <si>
    <t>Z</t>
  </si>
  <si>
    <t>填"是"或留空</t>
  </si>
  <si>
    <t>AB</t>
  </si>
  <si>
    <t>AD</t>
  </si>
  <si>
    <t>AW</t>
  </si>
  <si>
    <t>历史遗留分数</t>
  </si>
  <si>
    <t>AX</t>
  </si>
  <si>
    <t/>
  </si>
  <si>
    <t>扣分记录</t>
  </si>
  <si>
    <t>二、公式列详解（自动计算的列）</t>
  </si>
  <si>
    <t>公式</t>
  </si>
  <si>
    <t>以李晋诣为例的计算过程</t>
  </si>
  <si>
    <t>结果</t>
  </si>
  <si>
    <t>在'姓名+分部'表的A列找'李晋诣'，返回B列的值</t>
  </si>
  <si>
    <t>(查表得到)</t>
  </si>
  <si>
    <t>E</t>
  </si>
  <si>
    <t>Q2=2022-09-27有值，所以计算Y2(总分)在所有人中的排名</t>
  </si>
  <si>
    <t>(排名数字)</t>
  </si>
  <si>
    <t>F</t>
  </si>
  <si>
    <t>检查6个条件是否全部满足：总分&gt;1000、有C级、有欧洲报务、有美加报务、本机型运行&gt;48月、C类运行&gt;3月</t>
  </si>
  <si>
    <t>可流转/继续培训</t>
  </si>
  <si>
    <t>G</t>
  </si>
  <si>
    <t>N2=2020-09-05有值，第一个条件满足，返回"不考核"</t>
  </si>
  <si>
    <t>不考核</t>
  </si>
  <si>
    <t>H</t>
  </si>
  <si>
    <t>N2有值，返回"完成考核"；如果只有K2有值，返回K2日期+390天作为预警日期</t>
  </si>
  <si>
    <t>完成考核</t>
  </si>
  <si>
    <t>J</t>
  </si>
  <si>
    <t>I2和K2都有值，计算DATEDIF(2019-07-18,2019-08-25,"m")=1个月</t>
  </si>
  <si>
    <t>1</t>
  </si>
  <si>
    <t>L</t>
  </si>
  <si>
    <t>DATEDIF(2019-07-18,2020-09-05,"m")=13个月</t>
  </si>
  <si>
    <t>13</t>
  </si>
  <si>
    <t>M</t>
  </si>
  <si>
    <t>DATEDIF(2019-08-25,2020-09-05,"m")=12个月</t>
  </si>
  <si>
    <t>12</t>
  </si>
  <si>
    <t>O</t>
  </si>
  <si>
    <t>DATEDIF(2019-07-18,2022-09-27,"m")=38个月</t>
  </si>
  <si>
    <t>38</t>
  </si>
  <si>
    <t>P</t>
  </si>
  <si>
    <t>DATEDIF(2020-09-05,2022-09-27,"m")=24个月</t>
  </si>
  <si>
    <t>24</t>
  </si>
  <si>
    <t>S</t>
  </si>
  <si>
    <t>DATEDIF(2019-07-18,2020-08-13,"m")=12个月</t>
  </si>
  <si>
    <t>U</t>
  </si>
  <si>
    <t>DATEDIF(2019-07-18,2023-05-15,"m")=45个月</t>
  </si>
  <si>
    <t>45</t>
  </si>
  <si>
    <t>W</t>
  </si>
  <si>
    <t>DATEDIF(2019-07-18,2025-03-09,"m")=67个月</t>
  </si>
  <si>
    <t>67</t>
  </si>
  <si>
    <t>三、积分计算公式详解</t>
  </si>
  <si>
    <t>计算过程</t>
  </si>
  <si>
    <t>得分</t>
  </si>
  <si>
    <t>AA</t>
  </si>
  <si>
    <t>改装理论分数</t>
  </si>
  <si>
    <t>Z2="是"，条件成立</t>
  </si>
  <si>
    <t>AC</t>
  </si>
  <si>
    <t>改装模拟机分数</t>
  </si>
  <si>
    <t>AB2="是"，条件成立</t>
  </si>
  <si>
    <t>AE</t>
  </si>
  <si>
    <t>改装本场分数</t>
  </si>
  <si>
    <t>AD2="是"，条件成立</t>
  </si>
  <si>
    <t>AF</t>
  </si>
  <si>
    <t>技术等级分</t>
  </si>
  <si>
    <t>4个单元格都有值，COUNTA=4，4×10</t>
  </si>
  <si>
    <t>40分</t>
  </si>
  <si>
    <t>AG</t>
  </si>
  <si>
    <t>N2有值，计算从2020-09-05到今天的月数</t>
  </si>
  <si>
    <t>约52月</t>
  </si>
  <si>
    <t>AH</t>
  </si>
  <si>
    <t>B类运行分数</t>
  </si>
  <si>
    <t>52×3</t>
  </si>
  <si>
    <t>156分</t>
  </si>
  <si>
    <t>AI</t>
  </si>
  <si>
    <t>Q2有值，计算从2022-09-27到今天的月数</t>
  </si>
  <si>
    <t>约27月</t>
  </si>
  <si>
    <t>AJ</t>
  </si>
  <si>
    <t>C类运行分数</t>
  </si>
  <si>
    <t>27×6</t>
  </si>
  <si>
    <t>162分</t>
  </si>
  <si>
    <t>AK</t>
  </si>
  <si>
    <t>欧洲报务资质分</t>
  </si>
  <si>
    <t>T2有值</t>
  </si>
  <si>
    <t>AL</t>
  </si>
  <si>
    <t>从2020-08-13到今天</t>
  </si>
  <si>
    <t>约53月</t>
  </si>
  <si>
    <t>AM</t>
  </si>
  <si>
    <t>欧洲报务分数</t>
  </si>
  <si>
    <t>53×6</t>
  </si>
  <si>
    <t>318分</t>
  </si>
  <si>
    <t>AN</t>
  </si>
  <si>
    <t>美加报务资质分</t>
  </si>
  <si>
    <t>V2有值</t>
  </si>
  <si>
    <t>AO</t>
  </si>
  <si>
    <t>从2023-05-15到今天</t>
  </si>
  <si>
    <t>约19月</t>
  </si>
  <si>
    <t>AP</t>
  </si>
  <si>
    <t>美加报务分数</t>
  </si>
  <si>
    <t>19×6</t>
  </si>
  <si>
    <t>114分</t>
  </si>
  <si>
    <t>AQ</t>
  </si>
  <si>
    <t>西亚报务资质分</t>
  </si>
  <si>
    <t>X2有值</t>
  </si>
  <si>
    <t>AR</t>
  </si>
  <si>
    <t>从2025-03-09到今天</t>
  </si>
  <si>
    <t>(月数)</t>
  </si>
  <si>
    <t>AS</t>
  </si>
  <si>
    <t>西亚报务分数</t>
  </si>
  <si>
    <t>月数×6</t>
  </si>
  <si>
    <t>(计算)</t>
  </si>
  <si>
    <t>AT</t>
  </si>
  <si>
    <t>从经历时间表查找李晋诣的值</t>
  </si>
  <si>
    <t>(查表)</t>
  </si>
  <si>
    <t>AU</t>
  </si>
  <si>
    <t>Q2有值，AT2×0.1</t>
  </si>
  <si>
    <t>AV</t>
  </si>
  <si>
    <t>本机型运行月数</t>
  </si>
  <si>
    <t>从2019-07-18到今天</t>
  </si>
  <si>
    <t>约65月</t>
  </si>
  <si>
    <t>AY</t>
  </si>
  <si>
    <t>从兼职+帮忙表查找，找不到返回0</t>
  </si>
  <si>
    <t>四、总分计算</t>
  </si>
  <si>
    <t>总分公式（Y列）：</t>
  </si>
  <si>
    <t>即：改装理论分 + 改装模拟机分 + 改装本场分 + B类运行分 + C类运行分 + 欧洲报务分 + 美加报务分 + 西亚报务分 + 历史分 + 扣分项 + 加分项 + 经历时间得分</t>
  </si>
  <si>
    <t>五、可流转条件（6个条件必须全部满足）</t>
  </si>
  <si>
    <t>序号</t>
  </si>
  <si>
    <t>条件</t>
  </si>
  <si>
    <t>要求</t>
  </si>
  <si>
    <t>李晋诣情况</t>
  </si>
  <si>
    <t>是否满足</t>
  </si>
  <si>
    <t>Y列 &gt; 1000</t>
  </si>
  <si>
    <t>(计算总分)</t>
  </si>
  <si>
    <t>待确认</t>
  </si>
  <si>
    <t>2</t>
  </si>
  <si>
    <t>C级资质</t>
  </si>
  <si>
    <t>Q列有日期</t>
  </si>
  <si>
    <t>2022-09-27</t>
  </si>
  <si>
    <t>满足</t>
  </si>
  <si>
    <t>3</t>
  </si>
  <si>
    <t>T列有日期</t>
  </si>
  <si>
    <t>2020-08-13</t>
  </si>
  <si>
    <t>4</t>
  </si>
  <si>
    <t>V列有日期</t>
  </si>
  <si>
    <t>2023-05-15</t>
  </si>
  <si>
    <t>5</t>
  </si>
  <si>
    <t>AV列 &gt; 48</t>
  </si>
  <si>
    <t>6</t>
  </si>
  <si>
    <t>AI列 &gt; 3</t>
  </si>
  <si>
    <t>六、Excel函数说明</t>
  </si>
  <si>
    <t>函数</t>
  </si>
  <si>
    <t>作用</t>
  </si>
  <si>
    <t>语法</t>
  </si>
  <si>
    <t>示例</t>
  </si>
  <si>
    <t>VLOOKUP</t>
  </si>
  <si>
    <t>垂直查找，根据第一列的值返回同行其他列的值</t>
  </si>
  <si>
    <t>VLOOKUP(查找值,表格范围,返回第几列,FALSE)</t>
  </si>
  <si>
    <t>VLOOKUP(B2,'姓名+分部'!A:B,2,FALSE) 在姓名+分部表中找B2的姓名，返回第2列的分部</t>
  </si>
  <si>
    <t>DATEDIF</t>
  </si>
  <si>
    <t>计算两个日期之间的差值</t>
  </si>
  <si>
    <t>DATEDIF(开始日期,结束日期,"m") m表示月</t>
  </si>
  <si>
    <t>DATEDIF(I2,K2,"m") 计算I2到K2之间有几个月</t>
  </si>
  <si>
    <t>IF</t>
  </si>
  <si>
    <t>条件判断</t>
  </si>
  <si>
    <t>IF(条件,条件成立返回值,条件不成立返回值)</t>
  </si>
  <si>
    <t>IF(Z2="是",5,0) 如果Z2是"是"返回5，否则返回0</t>
  </si>
  <si>
    <t>IFS</t>
  </si>
  <si>
    <t>多条件判断，依次检查条件</t>
  </si>
  <si>
    <t>IFS(条件1,值1,条件2,值2,...)</t>
  </si>
  <si>
    <t>IFS(N2&gt;0,"完成",K2&gt;0,K2+390) 先检查N2，再检查K2</t>
  </si>
  <si>
    <t>AND</t>
  </si>
  <si>
    <t>多个条件同时满足才返回TRUE</t>
  </si>
  <si>
    <t>AND(条件1,条件2,...)</t>
  </si>
  <si>
    <t>AND(Y2&gt;1000,Q2&gt;0) Y2&gt;1000且Q2&gt;0才为TRUE</t>
  </si>
  <si>
    <t>RANK</t>
  </si>
  <si>
    <t>计算数值在范围内的排名</t>
  </si>
  <si>
    <t>RANK(数值,范围)</t>
  </si>
  <si>
    <t>RANK(Y2,Y$2:Y$133) 计算Y2在Y2到Y133中的排名</t>
  </si>
  <si>
    <t>COUNTA</t>
  </si>
  <si>
    <t>统计非空单元格的数量</t>
  </si>
  <si>
    <t>COUNTA(单元格1,单元格2,...)</t>
  </si>
  <si>
    <t>COUNTA(K2,N2,Q2,R2) 统计这4个单元格中有几个不为空</t>
  </si>
  <si>
    <t>IFERROR</t>
  </si>
  <si>
    <t>错误处理，公式出错时返回指定值</t>
  </si>
  <si>
    <t>IFERROR(公式,出错时返回值)</t>
  </si>
  <si>
    <t>IFERROR(VLOOKUP(...),0) 查找失败时返回0而不是报错</t>
  </si>
  <si>
    <t>TODAY</t>
  </si>
  <si>
    <t>返回今天的日期</t>
  </si>
  <si>
    <t>TODAY()</t>
  </si>
  <si>
    <t>DATEDIF(N2,TODAY(),"m") 计算N2到今天有几个月</t>
  </si>
  <si>
    <t>七、积分规则汇总</t>
  </si>
  <si>
    <t>项目</t>
  </si>
  <si>
    <t>得分规则</t>
  </si>
  <si>
    <t>技术等级(A2/B/C/D)</t>
  </si>
  <si>
    <t>每个等级10分，最多40分</t>
  </si>
  <si>
    <t>B类运行</t>
  </si>
  <si>
    <t>每月3分</t>
  </si>
  <si>
    <t>C类运行</t>
  </si>
  <si>
    <t>每月6分</t>
  </si>
  <si>
    <t>欧洲报务资质</t>
  </si>
  <si>
    <t>获得即得10分</t>
  </si>
  <si>
    <t>欧洲报务运行</t>
  </si>
  <si>
    <t>美加报务资质</t>
  </si>
  <si>
    <t>美加报务运行</t>
  </si>
  <si>
    <t>西亚报务资质</t>
  </si>
  <si>
    <t>西亚报务运行</t>
  </si>
  <si>
    <t>经历时间</t>
  </si>
  <si>
    <t>总经历时间×0.1（需有C级资质）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</si>
</sst>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_);[Red]\(0\)"/>
    <numFmt numFmtId="179" formatCode="0.00_ "/>
  </numFmts>
  <fonts count="48">
    <font>
      <sz val="12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b/>
      <sz val="12"/>
      <color rgb="FFFFFFFF"/>
      <name val="宋体"/>
      <charset val="134"/>
    </font>
    <font>
      <b/>
      <sz val="12"/>
      <name val="宋体"/>
      <charset val="134"/>
    </font>
    <font>
      <b/>
      <sz val="12"/>
      <color rgb="FF0000FF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  <scheme val="minor"/>
    </font>
    <font>
      <sz val="10"/>
      <name val="Arial"/>
      <charset val="0"/>
    </font>
    <font>
      <sz val="12"/>
      <name val="方正仿宋_GBK"/>
      <charset val="134"/>
    </font>
    <font>
      <sz val="12"/>
      <color rgb="FF000000"/>
      <name val="方正仿宋_GBK"/>
      <charset val="134"/>
    </font>
    <font>
      <sz val="12"/>
      <color theme="1"/>
      <name val="方正仿宋_GBK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方正仿宋_GBK"/>
      <charset val="134"/>
    </font>
    <font>
      <sz val="11"/>
      <name val="方正仿宋_GBK"/>
      <charset val="134"/>
    </font>
    <font>
      <b/>
      <sz val="14"/>
      <color rgb="FFFFFFFF"/>
      <name val="微软雅黑"/>
      <charset val="134"/>
    </font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0"/>
      <name val="微软雅黑"/>
      <charset val="134"/>
    </font>
    <font>
      <sz val="9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3" fillId="0" borderId="0">
      <alignment vertical="center"/>
    </xf>
    <xf numFmtId="44" fontId="23" fillId="0" borderId="0">
      <alignment vertical="center"/>
    </xf>
    <xf numFmtId="9" fontId="23" fillId="0" borderId="0">
      <alignment vertical="center"/>
    </xf>
    <xf numFmtId="41" fontId="23" fillId="0" borderId="0">
      <alignment vertical="center"/>
    </xf>
    <xf numFmtId="42" fontId="23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3" fillId="15" borderId="8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9">
      <alignment vertical="center"/>
    </xf>
    <xf numFmtId="0" fontId="33" fillId="0" borderId="9">
      <alignment vertical="center"/>
    </xf>
    <xf numFmtId="0" fontId="34" fillId="0" borderId="10">
      <alignment vertical="center"/>
    </xf>
    <xf numFmtId="0" fontId="34" fillId="0" borderId="0">
      <alignment vertical="center"/>
    </xf>
    <xf numFmtId="0" fontId="35" fillId="16" borderId="11">
      <alignment vertical="center"/>
    </xf>
    <xf numFmtId="0" fontId="36" fillId="17" borderId="12">
      <alignment vertical="center"/>
    </xf>
    <xf numFmtId="0" fontId="37" fillId="17" borderId="11">
      <alignment vertical="center"/>
    </xf>
    <xf numFmtId="0" fontId="38" fillId="18" borderId="13">
      <alignment vertical="center"/>
    </xf>
    <xf numFmtId="0" fontId="39" fillId="0" borderId="14">
      <alignment vertical="center"/>
    </xf>
    <xf numFmtId="0" fontId="40" fillId="0" borderId="15">
      <alignment vertical="center"/>
    </xf>
    <xf numFmtId="0" fontId="41" fillId="19" borderId="0">
      <alignment vertical="center"/>
    </xf>
    <xf numFmtId="0" fontId="42" fillId="20" borderId="0">
      <alignment vertical="center"/>
    </xf>
    <xf numFmtId="0" fontId="43" fillId="21" borderId="0">
      <alignment vertical="center"/>
    </xf>
    <xf numFmtId="0" fontId="44" fillId="22" borderId="0">
      <alignment vertical="center"/>
    </xf>
    <xf numFmtId="0" fontId="45" fillId="23" borderId="0">
      <alignment vertical="center"/>
    </xf>
    <xf numFmtId="0" fontId="45" fillId="24" borderId="0">
      <alignment vertical="center"/>
    </xf>
    <xf numFmtId="0" fontId="44" fillId="25" borderId="0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5" fillId="28" borderId="0">
      <alignment vertical="center"/>
    </xf>
    <xf numFmtId="0" fontId="44" fillId="29" borderId="0">
      <alignment vertical="center"/>
    </xf>
    <xf numFmtId="0" fontId="44" fillId="30" borderId="0">
      <alignment vertical="center"/>
    </xf>
    <xf numFmtId="0" fontId="45" fillId="31" borderId="0">
      <alignment vertical="center"/>
    </xf>
    <xf numFmtId="0" fontId="45" fillId="32" borderId="0">
      <alignment vertical="center"/>
    </xf>
    <xf numFmtId="0" fontId="44" fillId="33" borderId="0">
      <alignment vertical="center"/>
    </xf>
    <xf numFmtId="0" fontId="44" fillId="34" borderId="0">
      <alignment vertical="center"/>
    </xf>
    <xf numFmtId="0" fontId="45" fillId="35" borderId="0">
      <alignment vertical="center"/>
    </xf>
    <xf numFmtId="0" fontId="45" fillId="36" borderId="0">
      <alignment vertical="center"/>
    </xf>
    <xf numFmtId="0" fontId="44" fillId="37" borderId="0">
      <alignment vertical="center"/>
    </xf>
    <xf numFmtId="0" fontId="44" fillId="38" borderId="0">
      <alignment vertical="center"/>
    </xf>
    <xf numFmtId="0" fontId="45" fillId="39" borderId="0">
      <alignment vertical="center"/>
    </xf>
    <xf numFmtId="0" fontId="45" fillId="40" borderId="0">
      <alignment vertical="center"/>
    </xf>
    <xf numFmtId="0" fontId="44" fillId="41" borderId="0">
      <alignment vertical="center"/>
    </xf>
    <xf numFmtId="0" fontId="44" fillId="42" borderId="0">
      <alignment vertical="center"/>
    </xf>
    <xf numFmtId="0" fontId="45" fillId="43" borderId="0">
      <alignment vertical="center"/>
    </xf>
    <xf numFmtId="0" fontId="45" fillId="44" borderId="0">
      <alignment vertical="center"/>
    </xf>
    <xf numFmtId="0" fontId="44" fillId="45" borderId="0">
      <alignment vertical="center"/>
    </xf>
    <xf numFmtId="0" fontId="0" fillId="0" borderId="0">
      <protection locked="0"/>
    </xf>
    <xf numFmtId="0" fontId="46" fillId="0" borderId="0">
      <protection locked="0"/>
    </xf>
  </cellStyleXfs>
  <cellXfs count="9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/>
    <xf numFmtId="0" fontId="0" fillId="0" borderId="1" xfId="0" applyBorder="1" applyAlignment="1"/>
    <xf numFmtId="14" fontId="0" fillId="0" borderId="1" xfId="0" applyNumberFormat="1" applyBorder="1" applyAlignme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49" applyBorder="1" applyAlignment="1" applyProtection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1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49" applyBorder="1" applyAlignment="1" applyProtection="1">
      <alignment horizontal="center" vertical="center" wrapText="1"/>
    </xf>
    <xf numFmtId="0" fontId="11" fillId="3" borderId="1" xfId="0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49" applyBorder="1" applyAlignment="1" applyProtection="1">
      <alignment horizontal="center" vertical="center" wrapText="1"/>
    </xf>
    <xf numFmtId="0" fontId="4" fillId="0" borderId="0" xfId="49" applyFont="1" applyAlignment="1" applyProtection="1">
      <alignment horizontal="center" vertical="center" wrapText="1"/>
    </xf>
    <xf numFmtId="0" fontId="0" fillId="0" borderId="0" xfId="49" applyAlignment="1" applyProtection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4" fontId="0" fillId="0" borderId="0" xfId="49" applyNumberFormat="1" applyAlignment="1" applyProtection="1">
      <alignment horizontal="center" vertical="center" wrapText="1"/>
    </xf>
    <xf numFmtId="176" fontId="0" fillId="0" borderId="0" xfId="49" applyNumberFormat="1" applyAlignment="1" applyProtection="1">
      <alignment horizontal="center" vertical="center" wrapText="1"/>
    </xf>
    <xf numFmtId="0" fontId="4" fillId="7" borderId="4" xfId="49" applyFont="1" applyFill="1" applyBorder="1" applyAlignment="1" applyProtection="1">
      <alignment horizontal="center" vertical="center" wrapText="1"/>
    </xf>
    <xf numFmtId="0" fontId="4" fillId="8" borderId="4" xfId="49" applyFont="1" applyFill="1" applyBorder="1" applyAlignment="1" applyProtection="1">
      <alignment horizontal="center" vertical="center" wrapText="1"/>
    </xf>
    <xf numFmtId="0" fontId="4" fillId="9" borderId="4" xfId="49" applyFont="1" applyFill="1" applyBorder="1" applyAlignment="1" applyProtection="1">
      <alignment horizontal="center" vertical="center" wrapText="1"/>
    </xf>
    <xf numFmtId="14" fontId="4" fillId="9" borderId="4" xfId="49" applyNumberFormat="1" applyFont="1" applyFill="1" applyBorder="1" applyAlignment="1" applyProtection="1">
      <alignment horizontal="center" vertical="center" wrapText="1"/>
    </xf>
    <xf numFmtId="176" fontId="4" fillId="8" borderId="4" xfId="49" applyNumberFormat="1" applyFont="1" applyFill="1" applyBorder="1" applyAlignment="1" applyProtection="1">
      <alignment horizontal="center" vertical="center" wrapText="1"/>
    </xf>
    <xf numFmtId="0" fontId="4" fillId="0" borderId="4" xfId="49" applyFont="1" applyBorder="1" applyAlignment="1" applyProtection="1">
      <alignment horizontal="center" vertical="center" wrapText="1"/>
    </xf>
    <xf numFmtId="0" fontId="4" fillId="10" borderId="4" xfId="49" applyFont="1" applyFill="1" applyBorder="1" applyAlignment="1" applyProtection="1">
      <alignment horizontal="center" vertical="center" wrapText="1"/>
    </xf>
    <xf numFmtId="177" fontId="4" fillId="9" borderId="4" xfId="49" applyNumberFormat="1" applyFont="1" applyFill="1" applyBorder="1" applyAlignment="1" applyProtection="1">
      <alignment horizontal="center" vertical="center" wrapText="1"/>
    </xf>
    <xf numFmtId="0" fontId="4" fillId="11" borderId="4" xfId="49" applyFont="1" applyFill="1" applyBorder="1" applyAlignment="1" applyProtection="1">
      <alignment horizontal="center" vertical="center" wrapText="1"/>
    </xf>
    <xf numFmtId="177" fontId="4" fillId="12" borderId="4" xfId="49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0" fillId="0" borderId="1" xfId="49" applyNumberFormat="1" applyBorder="1" applyAlignment="1" applyProtection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 wrapText="1"/>
    </xf>
    <xf numFmtId="178" fontId="0" fillId="0" borderId="1" xfId="49" applyNumberFormat="1" applyBorder="1" applyAlignment="1" applyProtection="1">
      <alignment horizontal="center" vertical="center" wrapText="1"/>
    </xf>
    <xf numFmtId="0" fontId="0" fillId="0" borderId="1" xfId="50" applyFont="1" applyBorder="1" applyAlignment="1" applyProtection="1">
      <alignment horizontal="center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177" fontId="0" fillId="0" borderId="1" xfId="49" applyNumberFormat="1" applyBorder="1" applyAlignment="1" applyProtection="1">
      <alignment horizontal="center" vertical="center" wrapText="1"/>
    </xf>
    <xf numFmtId="179" fontId="0" fillId="0" borderId="1" xfId="49" applyNumberFormat="1" applyBorder="1" applyAlignment="1" applyProtection="1">
      <alignment horizontal="center" vertical="center" wrapText="1"/>
    </xf>
    <xf numFmtId="0" fontId="14" fillId="0" borderId="1" xfId="49" applyFont="1" applyBorder="1" applyAlignment="1" applyProtection="1">
      <alignment horizontal="center" vertical="center" wrapText="1"/>
    </xf>
    <xf numFmtId="176" fontId="0" fillId="0" borderId="1" xfId="49" applyNumberFormat="1" applyBorder="1" applyAlignment="1" applyProtection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49" applyFont="1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23" fillId="0" borderId="0" xfId="0" applyFont="1" applyAlignment="1">
      <alignment horizontal="left" vertical="center" wrapText="1"/>
    </xf>
    <xf numFmtId="0" fontId="24" fillId="14" borderId="4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5" fillId="0" borderId="5" xfId="0" applyFont="1" applyBorder="1" applyAlignment="1">
      <alignment vertical="top" wrapText="1"/>
    </xf>
    <xf numFmtId="0" fontId="26" fillId="0" borderId="5" xfId="0" applyFont="1" applyBorder="1" applyAlignment="1">
      <alignment vertical="top" wrapText="1"/>
    </xf>
    <xf numFmtId="0" fontId="23" fillId="0" borderId="0" xfId="0" applyFont="1" applyAlignment="1">
      <alignment wrapText="1"/>
    </xf>
    <xf numFmtId="0" fontId="26" fillId="0" borderId="4" xfId="0" applyFont="1" applyBorder="1" applyAlignment="1">
      <alignment vertical="center" wrapText="1"/>
    </xf>
    <xf numFmtId="0" fontId="0" fillId="0" borderId="7" xfId="0" applyBorder="1" applyAlignment="1"/>
    <xf numFmtId="0" fontId="26" fillId="0" borderId="1" xfId="0" applyFont="1" applyBorder="1" applyAlignment="1">
      <alignment vertical="center" wrapText="1"/>
    </xf>
    <xf numFmtId="0" fontId="0" fillId="0" borderId="4" xfId="0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_副驾驶建立运行经历时间统计" xfId="50"/>
  </cellStyles>
  <dxfs count="10">
    <dxf>
      <font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sz val="12"/>
      </font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9900"/>
        </patternFill>
      </fill>
    </dxf>
    <dxf>
      <font>
        <sz val="12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E2EF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9900"/>
        </patternFill>
      </fill>
    </dxf>
    <dxf>
      <font>
        <color theme="9" tint="-0.25"/>
      </font>
      <fill>
        <patternFill patternType="solid">
          <bgColor theme="9" tint="0.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17" sqref="B17"/>
    </sheetView>
  </sheetViews>
  <sheetFormatPr defaultColWidth="8.8" defaultRowHeight="15.6" outlineLevelCol="1"/>
  <cols>
    <col min="1" max="1" width="20.6" style="79" customWidth="1"/>
    <col min="2" max="2" width="49.4" style="79" customWidth="1"/>
    <col min="3" max="16384" width="8.8" style="79" customWidth="1"/>
  </cols>
  <sheetData>
    <row r="1" ht="20.4" customHeight="1" spans="1:2">
      <c r="A1" s="80" t="s">
        <v>0</v>
      </c>
      <c r="B1" s="81"/>
    </row>
    <row r="2" ht="48" customHeight="1" spans="1:2">
      <c r="A2" s="82" t="s">
        <v>1</v>
      </c>
    </row>
    <row r="3" ht="17.4" customHeight="1" spans="1:2">
      <c r="A3" s="83" t="s">
        <v>2</v>
      </c>
      <c r="B3" s="83" t="s">
        <v>3</v>
      </c>
    </row>
    <row r="4" spans="1:2">
      <c r="A4" s="84" t="s">
        <v>4</v>
      </c>
      <c r="B4" s="85" t="s">
        <v>5</v>
      </c>
    </row>
    <row r="5" spans="1:2">
      <c r="A5" s="84" t="s">
        <v>6</v>
      </c>
      <c r="B5" s="85" t="s">
        <v>7</v>
      </c>
    </row>
    <row r="6" spans="1:2">
      <c r="A6" s="84" t="s">
        <v>8</v>
      </c>
      <c r="B6" s="85" t="s">
        <v>5</v>
      </c>
    </row>
    <row r="7" spans="1:2">
      <c r="A7" s="84" t="s">
        <v>9</v>
      </c>
      <c r="B7" s="85" t="s">
        <v>10</v>
      </c>
    </row>
    <row r="8" spans="1:2">
      <c r="A8" s="84" t="s">
        <v>11</v>
      </c>
      <c r="B8" s="85" t="s">
        <v>12</v>
      </c>
    </row>
    <row r="9" spans="1:2">
      <c r="A9" s="84" t="s">
        <v>13</v>
      </c>
      <c r="B9" s="85" t="s">
        <v>14</v>
      </c>
    </row>
    <row r="10" spans="1:2">
      <c r="A10" s="84" t="s">
        <v>15</v>
      </c>
      <c r="B10" s="85" t="s">
        <v>14</v>
      </c>
    </row>
    <row r="11" spans="1:2">
      <c r="A11" s="84" t="s">
        <v>16</v>
      </c>
      <c r="B11" s="85" t="s">
        <v>14</v>
      </c>
    </row>
    <row r="12" spans="1:2">
      <c r="A12" s="84" t="s">
        <v>17</v>
      </c>
      <c r="B12" s="85" t="s">
        <v>18</v>
      </c>
    </row>
    <row r="13" spans="1:2">
      <c r="A13" s="84" t="s">
        <v>19</v>
      </c>
      <c r="B13" s="85" t="s">
        <v>20</v>
      </c>
    </row>
    <row r="14" spans="1:2">
      <c r="A14" s="84" t="s">
        <v>21</v>
      </c>
      <c r="B14" s="85" t="s">
        <v>22</v>
      </c>
    </row>
    <row r="15" spans="1:2">
      <c r="A15" s="86" t="s">
        <v>23</v>
      </c>
      <c r="B15" s="87" t="s">
        <v>24</v>
      </c>
    </row>
    <row r="16" spans="1:2">
      <c r="A16" s="88"/>
      <c r="B16" s="88"/>
    </row>
    <row r="17" spans="1:2">
      <c r="A17" s="83" t="s">
        <v>25</v>
      </c>
      <c r="B17" s="89" t="s">
        <v>26</v>
      </c>
    </row>
    <row r="18" spans="1:2">
      <c r="A18" s="90"/>
      <c r="B18" s="91" t="s">
        <v>27</v>
      </c>
    </row>
    <row r="19" spans="1:2">
      <c r="A19" s="90"/>
      <c r="B19" s="91" t="s">
        <v>28</v>
      </c>
    </row>
    <row r="20" spans="1:2">
      <c r="A20" s="90"/>
      <c r="B20" s="91" t="s">
        <v>29</v>
      </c>
    </row>
    <row r="21" spans="1:2">
      <c r="A21" s="90"/>
      <c r="B21" s="91" t="s">
        <v>30</v>
      </c>
    </row>
    <row r="22" spans="1:2">
      <c r="A22" s="92"/>
      <c r="B22" s="91" t="s">
        <v>31</v>
      </c>
    </row>
  </sheetData>
  <mergeCells count="3">
    <mergeCell ref="A1:B1"/>
    <mergeCell ref="A2:B2"/>
    <mergeCell ref="A17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49"/>
  <sheetViews>
    <sheetView tabSelected="1" zoomScale="85" zoomScaleNormal="85" workbookViewId="0">
      <pane xSplit="5" ySplit="1" topLeftCell="AT2" activePane="bottomRight" state="frozen"/>
      <selection/>
      <selection pane="topRight"/>
      <selection pane="bottomLeft"/>
      <selection pane="bottomRight" activeCell="AZ9" sqref="AZ9"/>
    </sheetView>
  </sheetViews>
  <sheetFormatPr defaultColWidth="9" defaultRowHeight="20" customHeight="1"/>
  <cols>
    <col min="1" max="1" width="11.75" style="43" customWidth="1"/>
    <col min="2" max="2" width="24.8583333333333" style="43" customWidth="1"/>
    <col min="3" max="3" width="9.875" style="43" customWidth="1"/>
    <col min="4" max="4" width="11.7666666666667" style="43" customWidth="1"/>
    <col min="5" max="5" width="13.25" style="21" customWidth="1"/>
    <col min="6" max="7" width="10.25" style="43" customWidth="1"/>
    <col min="8" max="8" width="13.125" style="45" customWidth="1"/>
    <col min="9" max="9" width="14.7" style="46" customWidth="1"/>
    <col min="10" max="10" width="19.5666666666667" style="43" customWidth="1"/>
    <col min="11" max="11" width="11.75" style="43" customWidth="1"/>
    <col min="12" max="12" width="10.175" style="43" customWidth="1"/>
    <col min="13" max="13" width="19.1333333333333" style="43" customWidth="1"/>
    <col min="14" max="14" width="11.75" style="43" customWidth="1"/>
    <col min="15" max="15" width="9.81666666666667" style="43" customWidth="1"/>
    <col min="16" max="16" width="12.25" style="43" customWidth="1"/>
    <col min="17" max="17" width="11.75" style="43" customWidth="1"/>
    <col min="18" max="18" width="12.5" style="43" customWidth="1"/>
    <col min="19" max="19" width="11" style="43" customWidth="1"/>
    <col min="20" max="20" width="11.75" style="43" customWidth="1"/>
    <col min="21" max="21" width="11" style="43" customWidth="1"/>
    <col min="22" max="24" width="11.75" style="43" customWidth="1"/>
    <col min="25" max="25" width="9.5" style="21" customWidth="1"/>
    <col min="26" max="27" width="9" style="21" customWidth="1"/>
    <col min="28" max="28" width="11" style="21" customWidth="1"/>
    <col min="29" max="45" width="9" style="21" customWidth="1"/>
    <col min="46" max="46" width="11.375" style="21" customWidth="1"/>
    <col min="47" max="47" width="14.5" style="21" customWidth="1"/>
    <col min="48" max="48" width="9" style="21" customWidth="1"/>
    <col min="49" max="49" width="15.875" style="43" customWidth="1"/>
    <col min="50" max="51" width="11" style="43" customWidth="1"/>
    <col min="52" max="52" width="68.825" style="43" customWidth="1"/>
    <col min="53" max="16368" width="11" style="43" customWidth="1"/>
    <col min="16369" max="16384" width="9" style="43" customWidth="1"/>
  </cols>
  <sheetData>
    <row r="1" s="42" customFormat="1" ht="54" customHeight="1" spans="1:52">
      <c r="A1" s="47" t="s">
        <v>32</v>
      </c>
      <c r="B1" s="47" t="s">
        <v>33</v>
      </c>
      <c r="C1" s="47" t="s">
        <v>34</v>
      </c>
      <c r="D1" s="48" t="s">
        <v>35</v>
      </c>
      <c r="E1" s="49" t="s">
        <v>36</v>
      </c>
      <c r="F1" s="49" t="s">
        <v>37</v>
      </c>
      <c r="G1" s="49" t="s">
        <v>38</v>
      </c>
      <c r="H1" s="50" t="s">
        <v>39</v>
      </c>
      <c r="I1" s="51" t="s">
        <v>40</v>
      </c>
      <c r="J1" s="52" t="s">
        <v>41</v>
      </c>
      <c r="K1" s="48" t="s">
        <v>42</v>
      </c>
      <c r="L1" s="52" t="s">
        <v>43</v>
      </c>
      <c r="M1" s="52" t="s">
        <v>44</v>
      </c>
      <c r="N1" s="48" t="s">
        <v>45</v>
      </c>
      <c r="O1" s="52" t="s">
        <v>46</v>
      </c>
      <c r="P1" s="52" t="s">
        <v>47</v>
      </c>
      <c r="Q1" s="48" t="s">
        <v>48</v>
      </c>
      <c r="R1" s="48" t="s">
        <v>49</v>
      </c>
      <c r="S1" s="52" t="s">
        <v>50</v>
      </c>
      <c r="T1" s="53" t="s">
        <v>51</v>
      </c>
      <c r="U1" s="52" t="s">
        <v>52</v>
      </c>
      <c r="V1" s="53" t="s">
        <v>53</v>
      </c>
      <c r="W1" s="52" t="s">
        <v>54</v>
      </c>
      <c r="X1" s="53" t="s">
        <v>55</v>
      </c>
      <c r="Y1" s="54" t="s">
        <v>56</v>
      </c>
      <c r="Z1" s="55" t="s">
        <v>57</v>
      </c>
      <c r="AA1" s="55" t="s">
        <v>58</v>
      </c>
      <c r="AB1" s="49" t="s">
        <v>59</v>
      </c>
      <c r="AC1" s="49" t="s">
        <v>58</v>
      </c>
      <c r="AD1" s="55" t="s">
        <v>60</v>
      </c>
      <c r="AE1" s="55" t="s">
        <v>58</v>
      </c>
      <c r="AF1" s="49" t="s">
        <v>61</v>
      </c>
      <c r="AG1" s="55" t="s">
        <v>62</v>
      </c>
      <c r="AH1" s="55" t="s">
        <v>58</v>
      </c>
      <c r="AI1" s="49" t="s">
        <v>63</v>
      </c>
      <c r="AJ1" s="49" t="s">
        <v>58</v>
      </c>
      <c r="AK1" s="55" t="s">
        <v>51</v>
      </c>
      <c r="AL1" s="55" t="s">
        <v>64</v>
      </c>
      <c r="AM1" s="55" t="s">
        <v>58</v>
      </c>
      <c r="AN1" s="49" t="s">
        <v>53</v>
      </c>
      <c r="AO1" s="49" t="s">
        <v>65</v>
      </c>
      <c r="AP1" s="49" t="s">
        <v>58</v>
      </c>
      <c r="AQ1" s="49" t="s">
        <v>55</v>
      </c>
      <c r="AR1" s="49" t="s">
        <v>66</v>
      </c>
      <c r="AS1" s="49" t="s">
        <v>58</v>
      </c>
      <c r="AT1" s="55" t="s">
        <v>67</v>
      </c>
      <c r="AU1" s="55" t="s">
        <v>68</v>
      </c>
      <c r="AV1" s="55" t="s">
        <v>69</v>
      </c>
      <c r="AW1" s="56" t="s">
        <v>70</v>
      </c>
      <c r="AX1" s="52" t="s">
        <v>71</v>
      </c>
      <c r="AY1" s="52" t="s">
        <v>72</v>
      </c>
      <c r="AZ1" s="52" t="s">
        <v>73</v>
      </c>
    </row>
    <row r="2" s="21" customFormat="1" ht="31.2" customHeight="1" spans="1:52">
      <c r="A2" s="35">
        <v>248310</v>
      </c>
      <c r="B2" s="35" t="s">
        <v>74</v>
      </c>
      <c r="C2" s="35" t="str">
        <f>VLOOKUP(B2,'姓名+分部'!A:B,2,FALSE)</f>
        <v>二分部</v>
      </c>
      <c r="D2" s="57" t="s">
        <v>49</v>
      </c>
      <c r="E2" s="58">
        <f ca="1">IF(Q2&gt;0,RANK(Y2,Y$2:Y$133),"无排名")</f>
        <v>2</v>
      </c>
      <c r="F2" s="35" t="str">
        <f ca="1" t="shared" ref="F2:F65" si="0">IF(AND(Y2&gt;1000,Q2&gt;0,T2&gt;0,V2&gt;0,AV2&gt;48,AI2&gt;3),"可流转","继续培训")</f>
        <v>可流转</v>
      </c>
      <c r="G2" s="35" t="str">
        <f t="shared" ref="G2:G51" si="1">IF(N2&gt;0,"不考核",IF(K2&gt;0,"B",IF(I2&gt;0,"A2",IF(I2=0,"学员",NA()))))</f>
        <v>不考核</v>
      </c>
      <c r="H2" s="59" t="str">
        <f t="shared" ref="H2:H65" si="2">_xlfn.IFS(N2&gt;0,"完成考核",K2&gt;0,K2+390,I2&gt;0,I2+120)</f>
        <v>完成考核</v>
      </c>
      <c r="I2" s="60">
        <v>43664</v>
      </c>
      <c r="J2" s="35">
        <f t="shared" ref="J2:J65" si="3">IF($I2&gt;0,IF(K2&gt;0,DATEDIF(I2,K2,"m"),"未完成"),"学员")</f>
        <v>1</v>
      </c>
      <c r="K2" s="61">
        <v>43702</v>
      </c>
      <c r="L2" s="58">
        <f>IF($I2&gt;0,IF(N2&gt;0,DATEDIF(I2,N2,"m"),"未完成"),"学员")</f>
        <v>13</v>
      </c>
      <c r="M2" s="58">
        <f>IF($I2&gt;0,IF(N2&gt;0,DATEDIF(K2,N2,"m"),"未完成"),"学员")</f>
        <v>12</v>
      </c>
      <c r="N2" s="61">
        <v>44079</v>
      </c>
      <c r="O2" s="58">
        <f t="shared" ref="O2:O65" si="4">IF($I2&gt;0,IF(Q2&gt;0,DATEDIF(I2,Q2,"m"),"未完成"),"学员")</f>
        <v>38</v>
      </c>
      <c r="P2" s="58">
        <f>IF($I2&gt;0,IF(Q2&gt;0,DATEDIF(N2,Q2,"m"),"未完成"),"学员")</f>
        <v>24</v>
      </c>
      <c r="Q2" s="61">
        <v>44831</v>
      </c>
      <c r="R2" s="59">
        <v>45530</v>
      </c>
      <c r="S2" s="35">
        <f t="shared" ref="S2:S65" si="5">IF($I2&gt;0,IF(T2&gt;0,DATEDIF(I2,T2,"m"),"未完成"),"学员")</f>
        <v>12</v>
      </c>
      <c r="T2" s="60">
        <v>44056</v>
      </c>
      <c r="U2" s="35">
        <f t="shared" ref="U2:U65" si="6">IF($I2&gt;0,IF(V2&gt;0,DATEDIF(I2,V2,"m"),"未完成"),"学员")</f>
        <v>45</v>
      </c>
      <c r="V2" s="61">
        <v>45061</v>
      </c>
      <c r="W2" s="35">
        <f t="shared" ref="W2:W65" si="7">IF($I2&gt;0,IF(X2&gt;0,DATEDIF(I2,X2,"m"),"未完成"),"学员")</f>
        <v>67</v>
      </c>
      <c r="X2" s="61">
        <v>45725</v>
      </c>
      <c r="Y2" s="62">
        <f ca="1" t="shared" ref="Y2:Y65" si="8">AA2+AC2+AE2+AH2+AJ2+AM2+AP2+AS2+AW2+AX2+AY2+AU2</f>
        <v>2043.708</v>
      </c>
      <c r="Z2" s="35" t="s">
        <v>75</v>
      </c>
      <c r="AA2" s="35">
        <f t="shared" ref="AA2:AA65" si="9">IF(Z2="是",5,0)</f>
        <v>5</v>
      </c>
      <c r="AB2" s="35" t="s">
        <v>75</v>
      </c>
      <c r="AC2" s="35">
        <f t="shared" ref="AC2:AC65" si="10">IF(AB2="是",10,0)</f>
        <v>10</v>
      </c>
      <c r="AD2" s="35" t="s">
        <v>75</v>
      </c>
      <c r="AE2" s="35">
        <f t="shared" ref="AE2:AE65" si="11">IF(AD2="是",5,0)</f>
        <v>5</v>
      </c>
      <c r="AF2" s="63">
        <f t="shared" ref="AF2:AF65" si="12">COUNTA(K2,N2,Q2,R2)*10</f>
        <v>40</v>
      </c>
      <c r="AG2" s="58">
        <f ca="1" t="shared" ref="AG2:AG65" si="13">IF(N2&gt;0,DATEDIF(N2,TODAY(),"m"),0)</f>
        <v>64</v>
      </c>
      <c r="AH2" s="35">
        <f ca="1" t="shared" ref="AH2:AH65" si="14">AG2*3</f>
        <v>192</v>
      </c>
      <c r="AI2" s="64">
        <f ca="1" t="shared" ref="AI2:AI65" si="15">IF(Q2&gt;0,DATEDIF(Q2,TODAY(),"m"),0)</f>
        <v>39</v>
      </c>
      <c r="AJ2" s="35">
        <f ca="1" t="shared" ref="AJ2:AJ65" si="16">AI2*6</f>
        <v>234</v>
      </c>
      <c r="AK2" s="35">
        <f t="shared" ref="AK2:AK65" si="17">IF(T2&gt;0,10,0)</f>
        <v>10</v>
      </c>
      <c r="AL2" s="64">
        <f ca="1" t="shared" ref="AL2:AL65" si="18">IF(T2&gt;0,DATEDIF(T2,TODAY(),"m"),0)</f>
        <v>65</v>
      </c>
      <c r="AM2" s="35">
        <f ca="1" t="shared" ref="AM2:AM65" si="19">AL2*6</f>
        <v>390</v>
      </c>
      <c r="AN2" s="35">
        <f t="shared" ref="AN2:AN65" si="20">IF(V2&gt;0,10,0)</f>
        <v>10</v>
      </c>
      <c r="AO2" s="64">
        <f ca="1" t="shared" ref="AO2:AO65" si="21">IF(V2&gt;0,DATEDIF(V2,TODAY(),"m"),0)</f>
        <v>32</v>
      </c>
      <c r="AP2" s="35">
        <f ca="1" t="shared" ref="AP2:AP65" si="22">AO2*6</f>
        <v>192</v>
      </c>
      <c r="AQ2" s="35">
        <f t="shared" ref="AQ2:AQ65" si="23">IF(X2&gt;0,10,0)</f>
        <v>10</v>
      </c>
      <c r="AR2" s="64">
        <f ca="1" t="shared" ref="AR2:AR65" si="24">IF(X2&gt;0,DATEDIF(X2,TODAY(),"m"),0)</f>
        <v>10</v>
      </c>
      <c r="AS2" s="35">
        <f ca="1" t="shared" ref="AS2:AS65" si="25">AR2*6</f>
        <v>60</v>
      </c>
      <c r="AT2" s="65">
        <f>VLOOKUP(B2,经历时间!A:B,2,FALSE)</f>
        <v>2742.08</v>
      </c>
      <c r="AU2" s="66">
        <f t="shared" ref="AU2:AU65" si="26">IF(Q2&gt;0,AT2*0.1,0)</f>
        <v>274.208</v>
      </c>
      <c r="AV2" s="35">
        <f ca="1" t="shared" ref="AV2:AV29" si="27">IF(I2&gt;0,DATEDIF(I2,TODAY(),"m"),0)</f>
        <v>77</v>
      </c>
      <c r="AW2" s="24">
        <v>51.5</v>
      </c>
      <c r="AX2" s="24"/>
      <c r="AY2" s="24">
        <f ca="1">IFERROR(VLOOKUP(B2,'兼职+帮忙'!B:AF,28,FALSE),0)</f>
        <v>630</v>
      </c>
      <c r="AZ2" s="23" t="s">
        <v>76</v>
      </c>
    </row>
    <row r="3" s="21" customFormat="1" ht="15.6" customHeight="1" spans="1:52">
      <c r="A3" s="35">
        <v>251920</v>
      </c>
      <c r="B3" s="35" t="s">
        <v>77</v>
      </c>
      <c r="C3" s="35" t="str">
        <f>VLOOKUP(B3,'姓名+分部'!A:B,2,FALSE)</f>
        <v>三分部</v>
      </c>
      <c r="D3" s="57" t="s">
        <v>49</v>
      </c>
      <c r="E3" s="58">
        <f ca="1" t="shared" ref="E2:E65" si="28">IF(Q3&gt;0,RANK(Y3,Y$2:Y$133),"无排名")</f>
        <v>4</v>
      </c>
      <c r="F3" s="35" t="str">
        <f ca="1" t="shared" si="0"/>
        <v>可流转</v>
      </c>
      <c r="G3" s="35" t="str">
        <f t="shared" si="1"/>
        <v>不考核</v>
      </c>
      <c r="H3" s="59" t="str">
        <f t="shared" si="2"/>
        <v>完成考核</v>
      </c>
      <c r="I3" s="60">
        <v>43728</v>
      </c>
      <c r="J3" s="35">
        <f t="shared" si="3"/>
        <v>1</v>
      </c>
      <c r="K3" s="61">
        <v>43771</v>
      </c>
      <c r="L3" s="58">
        <f t="shared" ref="L2:L65" si="29">IF($I3&gt;0,IF(N3&gt;0,DATEDIF(I3,N3,"m"),"未完成"),"学员")</f>
        <v>14</v>
      </c>
      <c r="M3" s="58">
        <f t="shared" ref="M2:M65" si="30">IF($I3&gt;0,IF(N3&gt;0,DATEDIF(K3,N3,"m"),"未完成"),"学员")</f>
        <v>12</v>
      </c>
      <c r="N3" s="61">
        <v>44166</v>
      </c>
      <c r="O3" s="58">
        <f t="shared" si="4"/>
        <v>42</v>
      </c>
      <c r="P3" s="58">
        <f t="shared" ref="P2:P65" si="31">IF($I3&gt;0,IF(Q3&gt;0,DATEDIF(N3,Q3,"m"),"未完成"),"学员")</f>
        <v>28</v>
      </c>
      <c r="Q3" s="61">
        <v>45017</v>
      </c>
      <c r="R3" s="59">
        <v>45373</v>
      </c>
      <c r="S3" s="35">
        <f t="shared" si="5"/>
        <v>21</v>
      </c>
      <c r="T3" s="60">
        <v>44382</v>
      </c>
      <c r="U3" s="35">
        <f t="shared" si="6"/>
        <v>10</v>
      </c>
      <c r="V3" s="61">
        <v>44043</v>
      </c>
      <c r="W3" s="35" t="str">
        <f t="shared" si="7"/>
        <v>未完成</v>
      </c>
      <c r="X3" s="61"/>
      <c r="Y3" s="62">
        <f ca="1" t="shared" si="8"/>
        <v>1946.203</v>
      </c>
      <c r="Z3" s="35" t="s">
        <v>75</v>
      </c>
      <c r="AA3" s="35">
        <f t="shared" si="9"/>
        <v>5</v>
      </c>
      <c r="AB3" s="35" t="s">
        <v>75</v>
      </c>
      <c r="AC3" s="35">
        <f t="shared" si="10"/>
        <v>10</v>
      </c>
      <c r="AD3" s="35" t="s">
        <v>75</v>
      </c>
      <c r="AE3" s="35">
        <f t="shared" si="11"/>
        <v>5</v>
      </c>
      <c r="AF3" s="63">
        <f t="shared" si="12"/>
        <v>40</v>
      </c>
      <c r="AG3" s="58">
        <f ca="1" t="shared" si="13"/>
        <v>61</v>
      </c>
      <c r="AH3" s="35">
        <f ca="1" t="shared" si="14"/>
        <v>183</v>
      </c>
      <c r="AI3" s="64">
        <f ca="1" t="shared" si="15"/>
        <v>33</v>
      </c>
      <c r="AJ3" s="35">
        <f ca="1" t="shared" si="16"/>
        <v>198</v>
      </c>
      <c r="AK3" s="35">
        <f t="shared" si="17"/>
        <v>10</v>
      </c>
      <c r="AL3" s="64">
        <f ca="1" t="shared" si="18"/>
        <v>54</v>
      </c>
      <c r="AM3" s="35">
        <f ca="1" t="shared" si="19"/>
        <v>324</v>
      </c>
      <c r="AN3" s="35">
        <f t="shared" si="20"/>
        <v>10</v>
      </c>
      <c r="AO3" s="64">
        <f ca="1" t="shared" si="21"/>
        <v>65</v>
      </c>
      <c r="AP3" s="35">
        <f ca="1" t="shared" si="22"/>
        <v>390</v>
      </c>
      <c r="AQ3" s="35">
        <f t="shared" si="23"/>
        <v>0</v>
      </c>
      <c r="AR3" s="64">
        <f ca="1" t="shared" si="24"/>
        <v>0</v>
      </c>
      <c r="AS3" s="35">
        <f ca="1" t="shared" si="25"/>
        <v>0</v>
      </c>
      <c r="AT3" s="65">
        <f>VLOOKUP(B3,经历时间!A:B,2,FALSE)</f>
        <v>2590.03</v>
      </c>
      <c r="AU3" s="67">
        <f t="shared" si="26"/>
        <v>259.003</v>
      </c>
      <c r="AV3" s="35">
        <f ca="1" t="shared" si="27"/>
        <v>75</v>
      </c>
      <c r="AW3" s="24">
        <v>32.2</v>
      </c>
      <c r="AX3" s="35"/>
      <c r="AY3" s="24">
        <f ca="1">IFERROR(VLOOKUP(B3,'兼职+帮忙'!B:AF,28,FALSE),0)</f>
        <v>540</v>
      </c>
      <c r="AZ3" s="23" t="s">
        <v>78</v>
      </c>
    </row>
    <row r="4" s="21" customFormat="1" ht="15.6" customHeight="1" spans="1:52">
      <c r="A4" s="35">
        <v>247692</v>
      </c>
      <c r="B4" s="35" t="s">
        <v>79</v>
      </c>
      <c r="C4" s="35" t="str">
        <f>VLOOKUP(B4,'姓名+分部'!A:B,2,FALSE)</f>
        <v>一分部</v>
      </c>
      <c r="D4" s="57" t="s">
        <v>49</v>
      </c>
      <c r="E4" s="58">
        <f ca="1" t="shared" si="28"/>
        <v>1</v>
      </c>
      <c r="F4" s="35" t="str">
        <f ca="1" t="shared" si="0"/>
        <v>可流转</v>
      </c>
      <c r="G4" s="35" t="str">
        <f t="shared" si="1"/>
        <v>不考核</v>
      </c>
      <c r="H4" s="59" t="str">
        <f t="shared" si="2"/>
        <v>完成考核</v>
      </c>
      <c r="I4" s="60">
        <v>43731</v>
      </c>
      <c r="J4" s="35">
        <f t="shared" si="3"/>
        <v>1</v>
      </c>
      <c r="K4" s="61">
        <v>43762</v>
      </c>
      <c r="L4" s="58">
        <f t="shared" si="29"/>
        <v>19</v>
      </c>
      <c r="M4" s="58">
        <f t="shared" si="30"/>
        <v>18</v>
      </c>
      <c r="N4" s="61">
        <v>44333</v>
      </c>
      <c r="O4" s="58">
        <f t="shared" si="4"/>
        <v>43</v>
      </c>
      <c r="P4" s="58">
        <f t="shared" si="31"/>
        <v>23</v>
      </c>
      <c r="Q4" s="61">
        <v>45061</v>
      </c>
      <c r="R4" s="59">
        <v>45919</v>
      </c>
      <c r="S4" s="35">
        <f t="shared" si="5"/>
        <v>15</v>
      </c>
      <c r="T4" s="60">
        <v>44216</v>
      </c>
      <c r="U4" s="35">
        <f t="shared" si="6"/>
        <v>8</v>
      </c>
      <c r="V4" s="61">
        <v>43993</v>
      </c>
      <c r="W4" s="35">
        <f t="shared" si="7"/>
        <v>60</v>
      </c>
      <c r="X4" s="61">
        <v>45584</v>
      </c>
      <c r="Y4" s="62">
        <f ca="1" t="shared" si="8"/>
        <v>2098.428</v>
      </c>
      <c r="Z4" s="35" t="s">
        <v>75</v>
      </c>
      <c r="AA4" s="35">
        <f t="shared" si="9"/>
        <v>5</v>
      </c>
      <c r="AB4" s="35" t="s">
        <v>75</v>
      </c>
      <c r="AC4" s="35">
        <f t="shared" si="10"/>
        <v>10</v>
      </c>
      <c r="AD4" s="35" t="s">
        <v>75</v>
      </c>
      <c r="AE4" s="35">
        <f t="shared" si="11"/>
        <v>5</v>
      </c>
      <c r="AF4" s="63">
        <f t="shared" si="12"/>
        <v>40</v>
      </c>
      <c r="AG4" s="58">
        <f ca="1" t="shared" si="13"/>
        <v>55</v>
      </c>
      <c r="AH4" s="35">
        <f ca="1" t="shared" si="14"/>
        <v>165</v>
      </c>
      <c r="AI4" s="64">
        <f ca="1" t="shared" si="15"/>
        <v>32</v>
      </c>
      <c r="AJ4" s="35">
        <f ca="1" t="shared" si="16"/>
        <v>192</v>
      </c>
      <c r="AK4" s="35">
        <f t="shared" si="17"/>
        <v>10</v>
      </c>
      <c r="AL4" s="64">
        <f ca="1" t="shared" si="18"/>
        <v>59</v>
      </c>
      <c r="AM4" s="35">
        <f ca="1" t="shared" si="19"/>
        <v>354</v>
      </c>
      <c r="AN4" s="35">
        <f t="shared" si="20"/>
        <v>10</v>
      </c>
      <c r="AO4" s="64">
        <f ca="1" t="shared" si="21"/>
        <v>67</v>
      </c>
      <c r="AP4" s="35">
        <f ca="1" t="shared" si="22"/>
        <v>402</v>
      </c>
      <c r="AQ4" s="35">
        <f t="shared" si="23"/>
        <v>10</v>
      </c>
      <c r="AR4" s="64">
        <f ca="1" t="shared" si="24"/>
        <v>14</v>
      </c>
      <c r="AS4" s="35">
        <f ca="1" t="shared" si="25"/>
        <v>84</v>
      </c>
      <c r="AT4" s="65">
        <f>VLOOKUP(B4,经历时间!A:B,2,FALSE)</f>
        <v>2924.28</v>
      </c>
      <c r="AU4" s="67">
        <f t="shared" si="26"/>
        <v>292.428</v>
      </c>
      <c r="AV4" s="35">
        <f ca="1" t="shared" si="27"/>
        <v>75</v>
      </c>
      <c r="AW4" s="24">
        <v>34.5</v>
      </c>
      <c r="AX4" s="58"/>
      <c r="AY4" s="24">
        <f ca="1">IFERROR(VLOOKUP(B4,'兼职+帮忙'!B:AF,28,FALSE),0)</f>
        <v>554.5</v>
      </c>
      <c r="AZ4" s="23" t="s">
        <v>80</v>
      </c>
    </row>
    <row r="5" s="43" customFormat="1" ht="15.6" customHeight="1" spans="1:52">
      <c r="A5" s="35">
        <v>248320</v>
      </c>
      <c r="B5" s="35" t="s">
        <v>81</v>
      </c>
      <c r="C5" s="35" t="str">
        <f>VLOOKUP(B5,'姓名+分部'!A:B,2,FALSE)</f>
        <v>一分部</v>
      </c>
      <c r="D5" s="57" t="s">
        <v>49</v>
      </c>
      <c r="E5" s="58">
        <f ca="1" t="shared" si="28"/>
        <v>3</v>
      </c>
      <c r="F5" s="35" t="str">
        <f ca="1" t="shared" si="0"/>
        <v>可流转</v>
      </c>
      <c r="G5" s="35" t="str">
        <f t="shared" si="1"/>
        <v>不考核</v>
      </c>
      <c r="H5" s="59" t="str">
        <f t="shared" si="2"/>
        <v>完成考核</v>
      </c>
      <c r="I5" s="60">
        <v>43666</v>
      </c>
      <c r="J5" s="35">
        <f t="shared" si="3"/>
        <v>1</v>
      </c>
      <c r="K5" s="61">
        <v>43697</v>
      </c>
      <c r="L5" s="58">
        <f t="shared" si="29"/>
        <v>16</v>
      </c>
      <c r="M5" s="58">
        <f t="shared" si="30"/>
        <v>15</v>
      </c>
      <c r="N5" s="61">
        <v>44179</v>
      </c>
      <c r="O5" s="58">
        <f t="shared" si="4"/>
        <v>41</v>
      </c>
      <c r="P5" s="58">
        <f t="shared" si="31"/>
        <v>24</v>
      </c>
      <c r="Q5" s="61">
        <v>44925</v>
      </c>
      <c r="R5" s="59">
        <v>45574</v>
      </c>
      <c r="S5" s="35">
        <f t="shared" si="5"/>
        <v>14</v>
      </c>
      <c r="T5" s="60">
        <v>44123</v>
      </c>
      <c r="U5" s="35">
        <f t="shared" si="6"/>
        <v>45</v>
      </c>
      <c r="V5" s="61">
        <v>45050</v>
      </c>
      <c r="W5" s="35">
        <f t="shared" si="7"/>
        <v>66</v>
      </c>
      <c r="X5" s="61">
        <v>45692</v>
      </c>
      <c r="Y5" s="62">
        <f ca="1" t="shared" si="8"/>
        <v>2017.842</v>
      </c>
      <c r="Z5" s="35" t="s">
        <v>75</v>
      </c>
      <c r="AA5" s="35">
        <f t="shared" si="9"/>
        <v>5</v>
      </c>
      <c r="AB5" s="35" t="s">
        <v>75</v>
      </c>
      <c r="AC5" s="35">
        <f t="shared" si="10"/>
        <v>10</v>
      </c>
      <c r="AD5" s="35" t="s">
        <v>75</v>
      </c>
      <c r="AE5" s="35">
        <f t="shared" si="11"/>
        <v>5</v>
      </c>
      <c r="AF5" s="63">
        <f t="shared" si="12"/>
        <v>40</v>
      </c>
      <c r="AG5" s="58">
        <f ca="1" t="shared" si="13"/>
        <v>61</v>
      </c>
      <c r="AH5" s="35">
        <f ca="1" t="shared" si="14"/>
        <v>183</v>
      </c>
      <c r="AI5" s="64">
        <f ca="1" t="shared" si="15"/>
        <v>36</v>
      </c>
      <c r="AJ5" s="35">
        <f ca="1" t="shared" si="16"/>
        <v>216</v>
      </c>
      <c r="AK5" s="35">
        <f t="shared" si="17"/>
        <v>10</v>
      </c>
      <c r="AL5" s="64">
        <f ca="1" t="shared" si="18"/>
        <v>62</v>
      </c>
      <c r="AM5" s="35">
        <f ca="1" t="shared" si="19"/>
        <v>372</v>
      </c>
      <c r="AN5" s="35">
        <f t="shared" si="20"/>
        <v>10</v>
      </c>
      <c r="AO5" s="64">
        <f ca="1" t="shared" si="21"/>
        <v>32</v>
      </c>
      <c r="AP5" s="35">
        <f ca="1" t="shared" si="22"/>
        <v>192</v>
      </c>
      <c r="AQ5" s="35">
        <f t="shared" si="23"/>
        <v>10</v>
      </c>
      <c r="AR5" s="64">
        <f ca="1" t="shared" si="24"/>
        <v>11</v>
      </c>
      <c r="AS5" s="35">
        <f ca="1" t="shared" si="25"/>
        <v>66</v>
      </c>
      <c r="AT5" s="65">
        <f>VLOOKUP(B5,经历时间!A:B,2,FALSE)</f>
        <v>2758.42</v>
      </c>
      <c r="AU5" s="67">
        <f t="shared" si="26"/>
        <v>275.842</v>
      </c>
      <c r="AV5" s="35">
        <f ca="1" t="shared" si="27"/>
        <v>77</v>
      </c>
      <c r="AW5" s="24">
        <v>63</v>
      </c>
      <c r="AX5" s="24"/>
      <c r="AY5" s="24">
        <f ca="1">IFERROR(VLOOKUP(B5,'兼职+帮忙'!B:AF,28,FALSE),0)</f>
        <v>630</v>
      </c>
      <c r="AZ5" s="23" t="s">
        <v>82</v>
      </c>
    </row>
    <row r="6" s="43" customFormat="1" ht="15.6" customHeight="1" spans="1:52">
      <c r="A6" s="35">
        <v>260944</v>
      </c>
      <c r="B6" s="35" t="s">
        <v>83</v>
      </c>
      <c r="C6" s="35" t="str">
        <f>VLOOKUP(B6,'姓名+分部'!A:B,2,FALSE)</f>
        <v>二分部</v>
      </c>
      <c r="D6" s="57" t="s">
        <v>49</v>
      </c>
      <c r="E6" s="58">
        <f ca="1" t="shared" si="28"/>
        <v>12</v>
      </c>
      <c r="F6" s="35" t="str">
        <f ca="1" t="shared" si="0"/>
        <v>可流转</v>
      </c>
      <c r="G6" s="35" t="str">
        <f t="shared" si="1"/>
        <v>不考核</v>
      </c>
      <c r="H6" s="59" t="str">
        <f t="shared" si="2"/>
        <v>完成考核</v>
      </c>
      <c r="I6" s="60">
        <v>44027</v>
      </c>
      <c r="J6" s="35">
        <f t="shared" si="3"/>
        <v>6</v>
      </c>
      <c r="K6" s="61">
        <v>44230</v>
      </c>
      <c r="L6" s="58">
        <f t="shared" si="29"/>
        <v>39</v>
      </c>
      <c r="M6" s="58">
        <f t="shared" si="30"/>
        <v>32</v>
      </c>
      <c r="N6" s="61">
        <v>45220</v>
      </c>
      <c r="O6" s="58">
        <f t="shared" si="4"/>
        <v>52</v>
      </c>
      <c r="P6" s="58">
        <f t="shared" si="31"/>
        <v>13</v>
      </c>
      <c r="Q6" s="61">
        <v>45623</v>
      </c>
      <c r="R6" s="61">
        <v>45951</v>
      </c>
      <c r="S6" s="35">
        <f t="shared" si="5"/>
        <v>27</v>
      </c>
      <c r="T6" s="60">
        <v>44858</v>
      </c>
      <c r="U6" s="35">
        <f t="shared" si="6"/>
        <v>35</v>
      </c>
      <c r="V6" s="61">
        <v>45101</v>
      </c>
      <c r="W6" s="35">
        <f t="shared" si="7"/>
        <v>52</v>
      </c>
      <c r="X6" s="61">
        <v>45632</v>
      </c>
      <c r="Y6" s="62">
        <f ca="1" t="shared" si="8"/>
        <v>1130.021</v>
      </c>
      <c r="Z6" s="58" t="s">
        <v>75</v>
      </c>
      <c r="AA6" s="35">
        <f t="shared" si="9"/>
        <v>5</v>
      </c>
      <c r="AB6" s="35" t="s">
        <v>75</v>
      </c>
      <c r="AC6" s="35">
        <f t="shared" si="10"/>
        <v>10</v>
      </c>
      <c r="AD6" s="35" t="s">
        <v>75</v>
      </c>
      <c r="AE6" s="35">
        <f t="shared" si="11"/>
        <v>5</v>
      </c>
      <c r="AF6" s="63">
        <f t="shared" si="12"/>
        <v>40</v>
      </c>
      <c r="AG6" s="58">
        <f ca="1" t="shared" si="13"/>
        <v>26</v>
      </c>
      <c r="AH6" s="35">
        <f ca="1" t="shared" si="14"/>
        <v>78</v>
      </c>
      <c r="AI6" s="64">
        <f ca="1" t="shared" si="15"/>
        <v>13</v>
      </c>
      <c r="AJ6" s="35">
        <f ca="1" t="shared" si="16"/>
        <v>78</v>
      </c>
      <c r="AK6" s="35">
        <f t="shared" si="17"/>
        <v>10</v>
      </c>
      <c r="AL6" s="64">
        <f ca="1" t="shared" si="18"/>
        <v>38</v>
      </c>
      <c r="AM6" s="35">
        <f ca="1" t="shared" si="19"/>
        <v>228</v>
      </c>
      <c r="AN6" s="35">
        <f t="shared" si="20"/>
        <v>10</v>
      </c>
      <c r="AO6" s="64">
        <f ca="1" t="shared" si="21"/>
        <v>30</v>
      </c>
      <c r="AP6" s="35">
        <f ca="1" t="shared" si="22"/>
        <v>180</v>
      </c>
      <c r="AQ6" s="35">
        <f t="shared" si="23"/>
        <v>10</v>
      </c>
      <c r="AR6" s="64">
        <f ca="1" t="shared" si="24"/>
        <v>13</v>
      </c>
      <c r="AS6" s="35">
        <f ca="1" t="shared" si="25"/>
        <v>78</v>
      </c>
      <c r="AT6" s="65">
        <f>VLOOKUP(B6,经历时间!A:B,2,FALSE)</f>
        <v>2240.21</v>
      </c>
      <c r="AU6" s="67">
        <f t="shared" si="26"/>
        <v>224.021</v>
      </c>
      <c r="AV6" s="35">
        <f ca="1" t="shared" si="27"/>
        <v>66</v>
      </c>
      <c r="AW6" s="24">
        <v>22</v>
      </c>
      <c r="AX6" s="35"/>
      <c r="AY6" s="24">
        <f ca="1">IFERROR(VLOOKUP(B6,'兼职+帮忙'!B:AF,28,FALSE),0)</f>
        <v>222</v>
      </c>
      <c r="AZ6" s="23" t="s">
        <v>84</v>
      </c>
    </row>
    <row r="7" s="43" customFormat="1" ht="15.6" customHeight="1" spans="1:52">
      <c r="A7" s="35">
        <v>247704</v>
      </c>
      <c r="B7" s="35" t="s">
        <v>85</v>
      </c>
      <c r="C7" s="35" t="str">
        <f>VLOOKUP(B7,'姓名+分部'!A:B,2,FALSE)</f>
        <v>二分部</v>
      </c>
      <c r="D7" s="57" t="s">
        <v>48</v>
      </c>
      <c r="E7" s="58">
        <f ca="1" t="shared" si="28"/>
        <v>5</v>
      </c>
      <c r="F7" s="35" t="str">
        <f ca="1" t="shared" si="0"/>
        <v>可流转</v>
      </c>
      <c r="G7" s="35" t="str">
        <f t="shared" si="1"/>
        <v>不考核</v>
      </c>
      <c r="H7" s="59" t="str">
        <f t="shared" si="2"/>
        <v>完成考核</v>
      </c>
      <c r="I7" s="60">
        <v>43664</v>
      </c>
      <c r="J7" s="35">
        <f t="shared" si="3"/>
        <v>1</v>
      </c>
      <c r="K7" s="61">
        <v>43706</v>
      </c>
      <c r="L7" s="58">
        <f t="shared" si="29"/>
        <v>15</v>
      </c>
      <c r="M7" s="58">
        <f t="shared" si="30"/>
        <v>13</v>
      </c>
      <c r="N7" s="61">
        <v>44126</v>
      </c>
      <c r="O7" s="58">
        <f t="shared" si="4"/>
        <v>42</v>
      </c>
      <c r="P7" s="58">
        <f t="shared" si="31"/>
        <v>26</v>
      </c>
      <c r="Q7" s="61">
        <v>44945</v>
      </c>
      <c r="R7" s="59"/>
      <c r="S7" s="35">
        <f t="shared" si="5"/>
        <v>12</v>
      </c>
      <c r="T7" s="60">
        <v>44046</v>
      </c>
      <c r="U7" s="35">
        <f t="shared" si="6"/>
        <v>46</v>
      </c>
      <c r="V7" s="61">
        <v>45075</v>
      </c>
      <c r="W7" s="35">
        <f t="shared" si="7"/>
        <v>70</v>
      </c>
      <c r="X7" s="61">
        <v>45797</v>
      </c>
      <c r="Y7" s="62">
        <f ca="1" t="shared" si="8"/>
        <v>1758.554</v>
      </c>
      <c r="Z7" s="35" t="s">
        <v>75</v>
      </c>
      <c r="AA7" s="35">
        <f t="shared" si="9"/>
        <v>5</v>
      </c>
      <c r="AB7" s="35" t="s">
        <v>75</v>
      </c>
      <c r="AC7" s="35">
        <f t="shared" si="10"/>
        <v>10</v>
      </c>
      <c r="AD7" s="35" t="s">
        <v>75</v>
      </c>
      <c r="AE7" s="35">
        <f t="shared" si="11"/>
        <v>5</v>
      </c>
      <c r="AF7" s="63">
        <f t="shared" si="12"/>
        <v>30</v>
      </c>
      <c r="AG7" s="58">
        <f ca="1" t="shared" si="13"/>
        <v>62</v>
      </c>
      <c r="AH7" s="35">
        <f ca="1" t="shared" si="14"/>
        <v>186</v>
      </c>
      <c r="AI7" s="64">
        <f ca="1" t="shared" si="15"/>
        <v>35</v>
      </c>
      <c r="AJ7" s="35">
        <f ca="1" t="shared" si="16"/>
        <v>210</v>
      </c>
      <c r="AK7" s="35">
        <f t="shared" si="17"/>
        <v>10</v>
      </c>
      <c r="AL7" s="64">
        <f ca="1" t="shared" si="18"/>
        <v>65</v>
      </c>
      <c r="AM7" s="35">
        <f ca="1" t="shared" si="19"/>
        <v>390</v>
      </c>
      <c r="AN7" s="35">
        <f t="shared" si="20"/>
        <v>10</v>
      </c>
      <c r="AO7" s="64">
        <f ca="1" t="shared" si="21"/>
        <v>31</v>
      </c>
      <c r="AP7" s="35">
        <f ca="1" t="shared" si="22"/>
        <v>186</v>
      </c>
      <c r="AQ7" s="35">
        <f t="shared" si="23"/>
        <v>10</v>
      </c>
      <c r="AR7" s="64">
        <f ca="1" t="shared" si="24"/>
        <v>7</v>
      </c>
      <c r="AS7" s="35">
        <f ca="1" t="shared" si="25"/>
        <v>42</v>
      </c>
      <c r="AT7" s="65">
        <f>VLOOKUP(B7,经历时间!A:B,2,FALSE)</f>
        <v>2913.54</v>
      </c>
      <c r="AU7" s="67">
        <f t="shared" si="26"/>
        <v>291.354</v>
      </c>
      <c r="AV7" s="35">
        <f ca="1" t="shared" si="27"/>
        <v>77</v>
      </c>
      <c r="AW7" s="24">
        <v>22.2</v>
      </c>
      <c r="AX7" s="24"/>
      <c r="AY7" s="24">
        <f ca="1">IFERROR(VLOOKUP(B7,'兼职+帮忙'!B:AF,28,FALSE),0)</f>
        <v>411</v>
      </c>
      <c r="AZ7" s="23" t="s">
        <v>86</v>
      </c>
    </row>
    <row r="8" s="43" customFormat="1" ht="15.6" customHeight="1" spans="1:52">
      <c r="A8" s="35">
        <v>248907</v>
      </c>
      <c r="B8" s="35" t="s">
        <v>87</v>
      </c>
      <c r="C8" s="35" t="str">
        <f>VLOOKUP(B8,'姓名+分部'!A:B,2,FALSE)</f>
        <v>三分部</v>
      </c>
      <c r="D8" s="57" t="s">
        <v>49</v>
      </c>
      <c r="E8" s="58">
        <f ca="1" t="shared" si="28"/>
        <v>11</v>
      </c>
      <c r="F8" s="35" t="str">
        <f ca="1" t="shared" si="0"/>
        <v>可流转</v>
      </c>
      <c r="G8" s="35" t="str">
        <f t="shared" si="1"/>
        <v>不考核</v>
      </c>
      <c r="H8" s="59" t="str">
        <f t="shared" si="2"/>
        <v>完成考核</v>
      </c>
      <c r="I8" s="60">
        <v>44125</v>
      </c>
      <c r="J8" s="35">
        <f t="shared" si="3"/>
        <v>1</v>
      </c>
      <c r="K8" s="61">
        <v>44185</v>
      </c>
      <c r="L8" s="58">
        <f t="shared" si="29"/>
        <v>32</v>
      </c>
      <c r="M8" s="58">
        <f t="shared" si="30"/>
        <v>30</v>
      </c>
      <c r="N8" s="61">
        <v>45112</v>
      </c>
      <c r="O8" s="58">
        <f t="shared" si="4"/>
        <v>36</v>
      </c>
      <c r="P8" s="58">
        <f t="shared" si="31"/>
        <v>4</v>
      </c>
      <c r="Q8" s="61">
        <v>45244</v>
      </c>
      <c r="R8" s="59">
        <v>45568</v>
      </c>
      <c r="S8" s="35">
        <f t="shared" si="5"/>
        <v>28</v>
      </c>
      <c r="T8" s="60">
        <v>44997</v>
      </c>
      <c r="U8" s="35">
        <f t="shared" si="6"/>
        <v>32</v>
      </c>
      <c r="V8" s="61">
        <v>45112</v>
      </c>
      <c r="W8" s="35">
        <f t="shared" si="7"/>
        <v>51</v>
      </c>
      <c r="X8" s="61">
        <v>45696</v>
      </c>
      <c r="Y8" s="62">
        <f ca="1" t="shared" si="8"/>
        <v>1135.423</v>
      </c>
      <c r="Z8" s="35" t="s">
        <v>75</v>
      </c>
      <c r="AA8" s="35">
        <f t="shared" si="9"/>
        <v>5</v>
      </c>
      <c r="AB8" s="35" t="s">
        <v>75</v>
      </c>
      <c r="AC8" s="35">
        <f t="shared" si="10"/>
        <v>10</v>
      </c>
      <c r="AD8" s="35" t="s">
        <v>75</v>
      </c>
      <c r="AE8" s="35">
        <f t="shared" si="11"/>
        <v>5</v>
      </c>
      <c r="AF8" s="63">
        <f t="shared" si="12"/>
        <v>40</v>
      </c>
      <c r="AG8" s="58">
        <f ca="1" t="shared" si="13"/>
        <v>30</v>
      </c>
      <c r="AH8" s="35">
        <f ca="1" t="shared" si="14"/>
        <v>90</v>
      </c>
      <c r="AI8" s="64">
        <f ca="1" t="shared" si="15"/>
        <v>26</v>
      </c>
      <c r="AJ8" s="35">
        <f ca="1" t="shared" si="16"/>
        <v>156</v>
      </c>
      <c r="AK8" s="35">
        <f t="shared" si="17"/>
        <v>10</v>
      </c>
      <c r="AL8" s="64">
        <f ca="1" t="shared" si="18"/>
        <v>34</v>
      </c>
      <c r="AM8" s="35">
        <f ca="1" t="shared" si="19"/>
        <v>204</v>
      </c>
      <c r="AN8" s="35">
        <f t="shared" si="20"/>
        <v>10</v>
      </c>
      <c r="AO8" s="64">
        <f ca="1" t="shared" si="21"/>
        <v>30</v>
      </c>
      <c r="AP8" s="35">
        <f ca="1" t="shared" si="22"/>
        <v>180</v>
      </c>
      <c r="AQ8" s="35">
        <f t="shared" si="23"/>
        <v>10</v>
      </c>
      <c r="AR8" s="64">
        <f ca="1" t="shared" si="24"/>
        <v>11</v>
      </c>
      <c r="AS8" s="35">
        <f ca="1" t="shared" si="25"/>
        <v>66</v>
      </c>
      <c r="AT8" s="65">
        <f>VLOOKUP(B8,经历时间!A:B,2,FALSE)</f>
        <v>2721.23</v>
      </c>
      <c r="AU8" s="67">
        <f t="shared" si="26"/>
        <v>272.123</v>
      </c>
      <c r="AV8" s="35">
        <f ca="1" t="shared" si="27"/>
        <v>62</v>
      </c>
      <c r="AW8" s="24">
        <v>-2.7</v>
      </c>
      <c r="AX8" s="35"/>
      <c r="AY8" s="24">
        <f ca="1">IFERROR(VLOOKUP(B8,'兼职+帮忙'!B:AF,28,FALSE),0)</f>
        <v>150</v>
      </c>
      <c r="AZ8" s="23" t="s">
        <v>88</v>
      </c>
    </row>
    <row r="9" s="44" customFormat="1" ht="20.25" customHeight="1" spans="1:52">
      <c r="A9" s="35">
        <v>259803</v>
      </c>
      <c r="B9" s="35" t="s">
        <v>89</v>
      </c>
      <c r="C9" s="35" t="str">
        <f>VLOOKUP(B9,'姓名+分部'!A:B,2,FALSE)</f>
        <v>一分部</v>
      </c>
      <c r="D9" s="57" t="s">
        <v>48</v>
      </c>
      <c r="E9" s="58">
        <f ca="1" t="shared" si="28"/>
        <v>18</v>
      </c>
      <c r="F9" s="35" t="str">
        <f ca="1" t="shared" si="0"/>
        <v>继续培训</v>
      </c>
      <c r="G9" s="35" t="str">
        <f t="shared" si="1"/>
        <v>不考核</v>
      </c>
      <c r="H9" s="59" t="str">
        <f t="shared" si="2"/>
        <v>完成考核</v>
      </c>
      <c r="I9" s="60">
        <v>43991</v>
      </c>
      <c r="J9" s="35">
        <f t="shared" si="3"/>
        <v>4</v>
      </c>
      <c r="K9" s="61">
        <v>44117</v>
      </c>
      <c r="L9" s="58">
        <f t="shared" si="29"/>
        <v>40</v>
      </c>
      <c r="M9" s="58">
        <f t="shared" si="30"/>
        <v>36</v>
      </c>
      <c r="N9" s="61">
        <v>45229</v>
      </c>
      <c r="O9" s="58">
        <f t="shared" si="4"/>
        <v>51</v>
      </c>
      <c r="P9" s="58">
        <f t="shared" si="31"/>
        <v>10</v>
      </c>
      <c r="Q9" s="31">
        <v>45561</v>
      </c>
      <c r="R9" s="24"/>
      <c r="S9" s="35">
        <f t="shared" si="5"/>
        <v>28</v>
      </c>
      <c r="T9" s="60">
        <v>44847</v>
      </c>
      <c r="U9" s="35">
        <f t="shared" si="6"/>
        <v>35</v>
      </c>
      <c r="V9" s="61">
        <v>45075</v>
      </c>
      <c r="W9" s="35">
        <f t="shared" si="7"/>
        <v>54</v>
      </c>
      <c r="X9" s="61">
        <v>45646</v>
      </c>
      <c r="Y9" s="62">
        <f ca="1" t="shared" si="8"/>
        <v>912.834</v>
      </c>
      <c r="Z9" s="35" t="s">
        <v>75</v>
      </c>
      <c r="AA9" s="35">
        <f t="shared" si="9"/>
        <v>5</v>
      </c>
      <c r="AB9" s="35" t="s">
        <v>75</v>
      </c>
      <c r="AC9" s="35">
        <f t="shared" si="10"/>
        <v>10</v>
      </c>
      <c r="AD9" s="35" t="s">
        <v>75</v>
      </c>
      <c r="AE9" s="35">
        <f t="shared" si="11"/>
        <v>5</v>
      </c>
      <c r="AF9" s="63">
        <f t="shared" si="12"/>
        <v>30</v>
      </c>
      <c r="AG9" s="58">
        <f ca="1" t="shared" si="13"/>
        <v>26</v>
      </c>
      <c r="AH9" s="35">
        <f ca="1" t="shared" si="14"/>
        <v>78</v>
      </c>
      <c r="AI9" s="64">
        <f ca="1" t="shared" si="15"/>
        <v>15</v>
      </c>
      <c r="AJ9" s="35">
        <f ca="1" t="shared" si="16"/>
        <v>90</v>
      </c>
      <c r="AK9" s="35">
        <f t="shared" si="17"/>
        <v>10</v>
      </c>
      <c r="AL9" s="64">
        <f ca="1" t="shared" si="18"/>
        <v>39</v>
      </c>
      <c r="AM9" s="35">
        <f ca="1" t="shared" si="19"/>
        <v>234</v>
      </c>
      <c r="AN9" s="35">
        <f t="shared" si="20"/>
        <v>10</v>
      </c>
      <c r="AO9" s="64">
        <f ca="1" t="shared" si="21"/>
        <v>31</v>
      </c>
      <c r="AP9" s="35">
        <f ca="1" t="shared" si="22"/>
        <v>186</v>
      </c>
      <c r="AQ9" s="35">
        <f t="shared" si="23"/>
        <v>10</v>
      </c>
      <c r="AR9" s="64">
        <f ca="1" t="shared" si="24"/>
        <v>12</v>
      </c>
      <c r="AS9" s="35">
        <f ca="1" t="shared" si="25"/>
        <v>72</v>
      </c>
      <c r="AT9" s="65">
        <f>VLOOKUP(B9,经历时间!A:B,2,FALSE)</f>
        <v>2328.34</v>
      </c>
      <c r="AU9" s="67">
        <f t="shared" si="26"/>
        <v>232.834</v>
      </c>
      <c r="AV9" s="35">
        <f ca="1" t="shared" si="27"/>
        <v>67</v>
      </c>
      <c r="AW9" s="24">
        <v>0</v>
      </c>
      <c r="AX9" s="35"/>
      <c r="AY9" s="24">
        <f ca="1">IFERROR(VLOOKUP(B9,'兼职+帮忙'!B:AF,28,FALSE),0)</f>
        <v>0</v>
      </c>
      <c r="AZ9" s="23"/>
    </row>
    <row r="10" s="43" customFormat="1" ht="15.6" customHeight="1" spans="1:52">
      <c r="A10" s="35">
        <v>273299</v>
      </c>
      <c r="B10" s="35" t="s">
        <v>90</v>
      </c>
      <c r="C10" s="35" t="str">
        <f>VLOOKUP(B10,'姓名+分部'!A:B,2,FALSE)</f>
        <v>三分部</v>
      </c>
      <c r="D10" s="57" t="s">
        <v>48</v>
      </c>
      <c r="E10" s="58">
        <f ca="1" t="shared" si="28"/>
        <v>8</v>
      </c>
      <c r="F10" s="35" t="str">
        <f ca="1" t="shared" si="0"/>
        <v>继续培训</v>
      </c>
      <c r="G10" s="35" t="str">
        <f t="shared" si="1"/>
        <v>不考核</v>
      </c>
      <c r="H10" s="59" t="str">
        <f t="shared" si="2"/>
        <v>完成考核</v>
      </c>
      <c r="I10" s="60">
        <v>44587</v>
      </c>
      <c r="J10" s="35">
        <f t="shared" si="3"/>
        <v>11</v>
      </c>
      <c r="K10" s="61">
        <v>44922</v>
      </c>
      <c r="L10" s="58">
        <f t="shared" si="29"/>
        <v>21</v>
      </c>
      <c r="M10" s="58">
        <f t="shared" si="30"/>
        <v>10</v>
      </c>
      <c r="N10" s="61">
        <v>45237</v>
      </c>
      <c r="O10" s="58">
        <f t="shared" si="4"/>
        <v>30</v>
      </c>
      <c r="P10" s="58">
        <f t="shared" si="31"/>
        <v>8</v>
      </c>
      <c r="Q10" s="61">
        <v>45504</v>
      </c>
      <c r="R10" s="58"/>
      <c r="S10" s="35">
        <f t="shared" si="5"/>
        <v>8</v>
      </c>
      <c r="T10" s="60">
        <v>44842</v>
      </c>
      <c r="U10" s="35">
        <f t="shared" si="6"/>
        <v>25</v>
      </c>
      <c r="V10" s="61">
        <v>45366</v>
      </c>
      <c r="W10" s="35">
        <f t="shared" si="7"/>
        <v>34</v>
      </c>
      <c r="X10" s="61">
        <v>45643</v>
      </c>
      <c r="Y10" s="62">
        <f ca="1" t="shared" si="8"/>
        <v>1450.158</v>
      </c>
      <c r="Z10" s="58" t="s">
        <v>75</v>
      </c>
      <c r="AA10" s="35">
        <f t="shared" si="9"/>
        <v>5</v>
      </c>
      <c r="AB10" s="35" t="s">
        <v>75</v>
      </c>
      <c r="AC10" s="35">
        <f t="shared" si="10"/>
        <v>10</v>
      </c>
      <c r="AD10" s="35" t="s">
        <v>75</v>
      </c>
      <c r="AE10" s="35">
        <f t="shared" si="11"/>
        <v>5</v>
      </c>
      <c r="AF10" s="63">
        <f t="shared" si="12"/>
        <v>30</v>
      </c>
      <c r="AG10" s="64">
        <f ca="1" t="shared" si="13"/>
        <v>26</v>
      </c>
      <c r="AH10" s="35">
        <f ca="1" t="shared" si="14"/>
        <v>78</v>
      </c>
      <c r="AI10" s="64">
        <f ca="1" t="shared" si="15"/>
        <v>17</v>
      </c>
      <c r="AJ10" s="35">
        <f ca="1" t="shared" si="16"/>
        <v>102</v>
      </c>
      <c r="AK10" s="35">
        <f t="shared" si="17"/>
        <v>10</v>
      </c>
      <c r="AL10" s="64">
        <f ca="1" t="shared" si="18"/>
        <v>39</v>
      </c>
      <c r="AM10" s="35">
        <f ca="1" t="shared" si="19"/>
        <v>234</v>
      </c>
      <c r="AN10" s="35">
        <f t="shared" si="20"/>
        <v>10</v>
      </c>
      <c r="AO10" s="64">
        <f ca="1" t="shared" si="21"/>
        <v>22</v>
      </c>
      <c r="AP10" s="35">
        <f ca="1" t="shared" si="22"/>
        <v>132</v>
      </c>
      <c r="AQ10" s="35">
        <f t="shared" si="23"/>
        <v>10</v>
      </c>
      <c r="AR10" s="64">
        <f ca="1" t="shared" si="24"/>
        <v>12</v>
      </c>
      <c r="AS10" s="35">
        <f ca="1" t="shared" si="25"/>
        <v>72</v>
      </c>
      <c r="AT10" s="65">
        <f>VLOOKUP(B10,经历时间!A:B,2,FALSE)</f>
        <v>1751.58</v>
      </c>
      <c r="AU10" s="67">
        <f t="shared" si="26"/>
        <v>175.158</v>
      </c>
      <c r="AV10" s="35">
        <f ca="1" t="shared" si="27"/>
        <v>47</v>
      </c>
      <c r="AW10" s="24">
        <v>25</v>
      </c>
      <c r="AX10" s="35"/>
      <c r="AY10" s="24">
        <f ca="1">IFERROR(VLOOKUP(B10,'兼职+帮忙'!B:AF,28,FALSE),0)</f>
        <v>612</v>
      </c>
      <c r="AZ10" s="23"/>
    </row>
    <row r="11" s="43" customFormat="1" ht="15.6" customHeight="1" spans="1:52">
      <c r="A11" s="35">
        <v>258463</v>
      </c>
      <c r="B11" s="35" t="s">
        <v>91</v>
      </c>
      <c r="C11" s="35" t="str">
        <f>VLOOKUP(B11,'姓名+分部'!A:B,2,FALSE)</f>
        <v>二分部</v>
      </c>
      <c r="D11" s="57" t="s">
        <v>48</v>
      </c>
      <c r="E11" s="58">
        <f ca="1" t="shared" si="28"/>
        <v>10</v>
      </c>
      <c r="F11" s="35" t="str">
        <f ca="1" t="shared" si="0"/>
        <v>可流转</v>
      </c>
      <c r="G11" s="35" t="str">
        <f t="shared" si="1"/>
        <v>不考核</v>
      </c>
      <c r="H11" s="59" t="str">
        <f t="shared" si="2"/>
        <v>完成考核</v>
      </c>
      <c r="I11" s="60">
        <v>43901</v>
      </c>
      <c r="J11" s="35">
        <f t="shared" si="3"/>
        <v>7</v>
      </c>
      <c r="K11" s="61">
        <v>44117</v>
      </c>
      <c r="L11" s="58">
        <f t="shared" si="29"/>
        <v>42</v>
      </c>
      <c r="M11" s="58">
        <f t="shared" si="30"/>
        <v>35</v>
      </c>
      <c r="N11" s="61">
        <v>45187</v>
      </c>
      <c r="O11" s="58">
        <f t="shared" si="4"/>
        <v>53</v>
      </c>
      <c r="P11" s="58">
        <f t="shared" si="31"/>
        <v>11</v>
      </c>
      <c r="Q11" s="61">
        <v>45545</v>
      </c>
      <c r="R11" s="61"/>
      <c r="S11" s="35">
        <f t="shared" si="5"/>
        <v>32</v>
      </c>
      <c r="T11" s="60">
        <v>44884</v>
      </c>
      <c r="U11" s="35">
        <f t="shared" si="6"/>
        <v>44</v>
      </c>
      <c r="V11" s="61">
        <v>45258</v>
      </c>
      <c r="W11" s="35" t="str">
        <f t="shared" si="7"/>
        <v>未完成</v>
      </c>
      <c r="X11" s="61"/>
      <c r="Y11" s="62">
        <f ca="1" t="shared" si="8"/>
        <v>1166.855</v>
      </c>
      <c r="Z11" s="58" t="s">
        <v>75</v>
      </c>
      <c r="AA11" s="35">
        <f t="shared" si="9"/>
        <v>5</v>
      </c>
      <c r="AB11" s="35" t="s">
        <v>75</v>
      </c>
      <c r="AC11" s="35">
        <f t="shared" si="10"/>
        <v>10</v>
      </c>
      <c r="AD11" s="35" t="s">
        <v>75</v>
      </c>
      <c r="AE11" s="35">
        <f t="shared" si="11"/>
        <v>5</v>
      </c>
      <c r="AF11" s="63">
        <f t="shared" si="12"/>
        <v>30</v>
      </c>
      <c r="AG11" s="58">
        <f ca="1" t="shared" si="13"/>
        <v>27</v>
      </c>
      <c r="AH11" s="35">
        <f ca="1" t="shared" si="14"/>
        <v>81</v>
      </c>
      <c r="AI11" s="64">
        <f ca="1" t="shared" si="15"/>
        <v>16</v>
      </c>
      <c r="AJ11" s="35">
        <f ca="1" t="shared" si="16"/>
        <v>96</v>
      </c>
      <c r="AK11" s="35">
        <f t="shared" si="17"/>
        <v>10</v>
      </c>
      <c r="AL11" s="64">
        <f ca="1" t="shared" si="18"/>
        <v>37</v>
      </c>
      <c r="AM11" s="35">
        <f ca="1" t="shared" si="19"/>
        <v>222</v>
      </c>
      <c r="AN11" s="35">
        <f t="shared" si="20"/>
        <v>10</v>
      </c>
      <c r="AO11" s="64">
        <f ca="1" t="shared" si="21"/>
        <v>25</v>
      </c>
      <c r="AP11" s="35">
        <f ca="1" t="shared" si="22"/>
        <v>150</v>
      </c>
      <c r="AQ11" s="35">
        <f t="shared" si="23"/>
        <v>0</v>
      </c>
      <c r="AR11" s="64">
        <f ca="1" t="shared" si="24"/>
        <v>0</v>
      </c>
      <c r="AS11" s="35">
        <f ca="1" t="shared" si="25"/>
        <v>0</v>
      </c>
      <c r="AT11" s="65">
        <f>VLOOKUP(B11,经历时间!A:B,2,FALSE)</f>
        <v>2481.55</v>
      </c>
      <c r="AU11" s="67">
        <f t="shared" si="26"/>
        <v>248.155</v>
      </c>
      <c r="AV11" s="35">
        <f ca="1" t="shared" si="27"/>
        <v>70</v>
      </c>
      <c r="AW11" s="24">
        <v>21.7</v>
      </c>
      <c r="AX11" s="35"/>
      <c r="AY11" s="24">
        <f ca="1">IFERROR(VLOOKUP(B11,'兼职+帮忙'!B:AF,28,FALSE),0)</f>
        <v>328</v>
      </c>
      <c r="AZ11" s="35"/>
    </row>
    <row r="12" s="43" customFormat="1" ht="15.6" customHeight="1" spans="1:52">
      <c r="A12" s="35">
        <v>262062</v>
      </c>
      <c r="B12" s="35" t="s">
        <v>92</v>
      </c>
      <c r="C12" s="35" t="str">
        <f>VLOOKUP(B12,'姓名+分部'!A:B,2,FALSE)</f>
        <v>三分部</v>
      </c>
      <c r="D12" s="57" t="s">
        <v>48</v>
      </c>
      <c r="E12" s="58">
        <f ca="1" t="shared" si="28"/>
        <v>14</v>
      </c>
      <c r="F12" s="35" t="str">
        <f ca="1" t="shared" si="0"/>
        <v>可流转</v>
      </c>
      <c r="G12" s="35" t="str">
        <f t="shared" si="1"/>
        <v>不考核</v>
      </c>
      <c r="H12" s="59" t="str">
        <f t="shared" si="2"/>
        <v>完成考核</v>
      </c>
      <c r="I12" s="60">
        <v>44027</v>
      </c>
      <c r="J12" s="35">
        <f t="shared" si="3"/>
        <v>9</v>
      </c>
      <c r="K12" s="61">
        <v>44323</v>
      </c>
      <c r="L12" s="58">
        <f t="shared" si="29"/>
        <v>39</v>
      </c>
      <c r="M12" s="58">
        <f t="shared" si="30"/>
        <v>29</v>
      </c>
      <c r="N12" s="61">
        <v>45215</v>
      </c>
      <c r="O12" s="58">
        <f t="shared" si="4"/>
        <v>51</v>
      </c>
      <c r="P12" s="58">
        <f t="shared" si="31"/>
        <v>12</v>
      </c>
      <c r="Q12" s="61">
        <v>45587</v>
      </c>
      <c r="R12" s="58"/>
      <c r="S12" s="35">
        <f t="shared" si="5"/>
        <v>24</v>
      </c>
      <c r="T12" s="60">
        <v>44778</v>
      </c>
      <c r="U12" s="35">
        <f t="shared" si="6"/>
        <v>37</v>
      </c>
      <c r="V12" s="61">
        <v>45159</v>
      </c>
      <c r="W12" s="35" t="str">
        <f t="shared" si="7"/>
        <v>未完成</v>
      </c>
      <c r="X12" s="61"/>
      <c r="Y12" s="62">
        <f ca="1" t="shared" si="8"/>
        <v>1032.841</v>
      </c>
      <c r="Z12" s="58" t="s">
        <v>75</v>
      </c>
      <c r="AA12" s="35">
        <f t="shared" si="9"/>
        <v>5</v>
      </c>
      <c r="AB12" s="35" t="s">
        <v>75</v>
      </c>
      <c r="AC12" s="35">
        <f t="shared" si="10"/>
        <v>10</v>
      </c>
      <c r="AD12" s="35" t="s">
        <v>75</v>
      </c>
      <c r="AE12" s="35">
        <f t="shared" si="11"/>
        <v>5</v>
      </c>
      <c r="AF12" s="63">
        <f t="shared" si="12"/>
        <v>30</v>
      </c>
      <c r="AG12" s="58">
        <f ca="1" t="shared" si="13"/>
        <v>27</v>
      </c>
      <c r="AH12" s="35">
        <f ca="1" t="shared" si="14"/>
        <v>81</v>
      </c>
      <c r="AI12" s="64">
        <f ca="1" t="shared" si="15"/>
        <v>14</v>
      </c>
      <c r="AJ12" s="35">
        <f ca="1" t="shared" si="16"/>
        <v>84</v>
      </c>
      <c r="AK12" s="35">
        <f t="shared" si="17"/>
        <v>10</v>
      </c>
      <c r="AL12" s="64">
        <f ca="1" t="shared" si="18"/>
        <v>41</v>
      </c>
      <c r="AM12" s="35">
        <f ca="1" t="shared" si="19"/>
        <v>246</v>
      </c>
      <c r="AN12" s="35">
        <f t="shared" si="20"/>
        <v>10</v>
      </c>
      <c r="AO12" s="64">
        <f ca="1" t="shared" si="21"/>
        <v>28</v>
      </c>
      <c r="AP12" s="35">
        <f ca="1" t="shared" si="22"/>
        <v>168</v>
      </c>
      <c r="AQ12" s="35">
        <f t="shared" si="23"/>
        <v>0</v>
      </c>
      <c r="AR12" s="64">
        <f ca="1" t="shared" si="24"/>
        <v>0</v>
      </c>
      <c r="AS12" s="35">
        <f ca="1" t="shared" si="25"/>
        <v>0</v>
      </c>
      <c r="AT12" s="65">
        <f>VLOOKUP(B12,经历时间!A:B,2,FALSE)</f>
        <v>2335.41</v>
      </c>
      <c r="AU12" s="67">
        <f t="shared" si="26"/>
        <v>233.541</v>
      </c>
      <c r="AV12" s="35">
        <f ca="1" t="shared" si="27"/>
        <v>66</v>
      </c>
      <c r="AW12" s="24">
        <v>8.3</v>
      </c>
      <c r="AX12" s="35"/>
      <c r="AY12" s="24">
        <f ca="1">IFERROR(VLOOKUP(B12,'兼职+帮忙'!B:AF,28,FALSE),0)</f>
        <v>192</v>
      </c>
      <c r="AZ12" s="35"/>
    </row>
    <row r="13" s="43" customFormat="1" ht="15.6" customHeight="1" spans="1:52">
      <c r="A13" s="35">
        <v>259806</v>
      </c>
      <c r="B13" s="35" t="s">
        <v>93</v>
      </c>
      <c r="C13" s="35" t="str">
        <f>VLOOKUP(B13,'姓名+分部'!A:B,2,FALSE)</f>
        <v>一分部</v>
      </c>
      <c r="D13" s="57" t="s">
        <v>49</v>
      </c>
      <c r="E13" s="58">
        <f ca="1" t="shared" si="28"/>
        <v>17</v>
      </c>
      <c r="F13" s="35" t="str">
        <f ca="1" t="shared" si="0"/>
        <v>继续培训</v>
      </c>
      <c r="G13" s="35" t="str">
        <f t="shared" si="1"/>
        <v>不考核</v>
      </c>
      <c r="H13" s="59" t="str">
        <f t="shared" si="2"/>
        <v>完成考核</v>
      </c>
      <c r="I13" s="60">
        <v>44025</v>
      </c>
      <c r="J13" s="35">
        <f t="shared" si="3"/>
        <v>6</v>
      </c>
      <c r="K13" s="61">
        <v>44212</v>
      </c>
      <c r="L13" s="58">
        <f t="shared" si="29"/>
        <v>24</v>
      </c>
      <c r="M13" s="58">
        <f t="shared" si="30"/>
        <v>17</v>
      </c>
      <c r="N13" s="61">
        <v>44757</v>
      </c>
      <c r="O13" s="58">
        <f t="shared" si="4"/>
        <v>37</v>
      </c>
      <c r="P13" s="58">
        <f t="shared" si="31"/>
        <v>13</v>
      </c>
      <c r="Q13" s="61">
        <v>45159</v>
      </c>
      <c r="R13" s="59">
        <v>45561</v>
      </c>
      <c r="S13" s="35">
        <f t="shared" si="5"/>
        <v>21</v>
      </c>
      <c r="T13" s="60">
        <v>44681</v>
      </c>
      <c r="U13" s="35">
        <f t="shared" si="6"/>
        <v>44</v>
      </c>
      <c r="V13" s="61">
        <v>45373</v>
      </c>
      <c r="W13" s="35" t="str">
        <f t="shared" si="7"/>
        <v>未完成</v>
      </c>
      <c r="X13" s="61"/>
      <c r="Y13" s="62">
        <f ca="1" t="shared" si="8"/>
        <v>915.726</v>
      </c>
      <c r="Z13" s="35" t="s">
        <v>75</v>
      </c>
      <c r="AA13" s="35">
        <f t="shared" si="9"/>
        <v>5</v>
      </c>
      <c r="AB13" s="35" t="s">
        <v>75</v>
      </c>
      <c r="AC13" s="35">
        <f t="shared" si="10"/>
        <v>10</v>
      </c>
      <c r="AD13" s="35" t="s">
        <v>75</v>
      </c>
      <c r="AE13" s="35">
        <f t="shared" si="11"/>
        <v>5</v>
      </c>
      <c r="AF13" s="63">
        <f t="shared" si="12"/>
        <v>40</v>
      </c>
      <c r="AG13" s="58">
        <f ca="1" t="shared" si="13"/>
        <v>42</v>
      </c>
      <c r="AH13" s="35">
        <f ca="1" t="shared" si="14"/>
        <v>126</v>
      </c>
      <c r="AI13" s="64">
        <f ca="1" t="shared" si="15"/>
        <v>28</v>
      </c>
      <c r="AJ13" s="35">
        <f ca="1" t="shared" si="16"/>
        <v>168</v>
      </c>
      <c r="AK13" s="35">
        <f t="shared" si="17"/>
        <v>10</v>
      </c>
      <c r="AL13" s="64">
        <f ca="1" t="shared" si="18"/>
        <v>44</v>
      </c>
      <c r="AM13" s="35">
        <f ca="1" t="shared" si="19"/>
        <v>264</v>
      </c>
      <c r="AN13" s="35">
        <f t="shared" si="20"/>
        <v>10</v>
      </c>
      <c r="AO13" s="64">
        <f ca="1" t="shared" si="21"/>
        <v>21</v>
      </c>
      <c r="AP13" s="35">
        <f ca="1" t="shared" si="22"/>
        <v>126</v>
      </c>
      <c r="AQ13" s="35">
        <f t="shared" si="23"/>
        <v>0</v>
      </c>
      <c r="AR13" s="64">
        <f ca="1" t="shared" si="24"/>
        <v>0</v>
      </c>
      <c r="AS13" s="35">
        <f ca="1" t="shared" si="25"/>
        <v>0</v>
      </c>
      <c r="AT13" s="65">
        <f>VLOOKUP(B13,经历时间!A:B,2,FALSE)</f>
        <v>2098.26</v>
      </c>
      <c r="AU13" s="67">
        <f t="shared" si="26"/>
        <v>209.826</v>
      </c>
      <c r="AV13" s="35">
        <f ca="1" t="shared" si="27"/>
        <v>66</v>
      </c>
      <c r="AW13" s="24">
        <v>1.9</v>
      </c>
      <c r="AX13" s="35"/>
      <c r="AY13" s="24">
        <f ca="1">IFERROR(VLOOKUP(B13,'兼职+帮忙'!B:AF,28,FALSE),0)</f>
        <v>0</v>
      </c>
      <c r="AZ13" s="35"/>
    </row>
    <row r="14" s="43" customFormat="1" ht="17.25" customHeight="1" spans="1:52">
      <c r="A14" s="35">
        <v>263416</v>
      </c>
      <c r="B14" s="35" t="s">
        <v>94</v>
      </c>
      <c r="C14" s="35" t="str">
        <f>VLOOKUP(B14,'姓名+分部'!A:B,2,FALSE)</f>
        <v>一分部</v>
      </c>
      <c r="D14" s="57" t="s">
        <v>48</v>
      </c>
      <c r="E14" s="58">
        <f ca="1" t="shared" si="28"/>
        <v>20</v>
      </c>
      <c r="F14" s="35" t="str">
        <f ca="1" t="shared" si="0"/>
        <v>继续培训</v>
      </c>
      <c r="G14" s="35" t="str">
        <f t="shared" si="1"/>
        <v>不考核</v>
      </c>
      <c r="H14" s="59" t="str">
        <f t="shared" si="2"/>
        <v>完成考核</v>
      </c>
      <c r="I14" s="60">
        <v>44416</v>
      </c>
      <c r="J14" s="35">
        <f t="shared" si="3"/>
        <v>5</v>
      </c>
      <c r="K14" s="61">
        <v>44589</v>
      </c>
      <c r="L14" s="58">
        <f t="shared" si="29"/>
        <v>26</v>
      </c>
      <c r="M14" s="58">
        <f t="shared" si="30"/>
        <v>20</v>
      </c>
      <c r="N14" s="61">
        <v>45220</v>
      </c>
      <c r="O14" s="58">
        <f t="shared" si="4"/>
        <v>42</v>
      </c>
      <c r="P14" s="58">
        <f t="shared" si="31"/>
        <v>16</v>
      </c>
      <c r="Q14" s="59">
        <v>45714</v>
      </c>
      <c r="R14" s="35"/>
      <c r="S14" s="35">
        <f t="shared" si="5"/>
        <v>19</v>
      </c>
      <c r="T14" s="60">
        <v>45009</v>
      </c>
      <c r="U14" s="35">
        <f t="shared" si="6"/>
        <v>36</v>
      </c>
      <c r="V14" s="61">
        <v>45512</v>
      </c>
      <c r="W14" s="35" t="str">
        <f t="shared" si="7"/>
        <v>未完成</v>
      </c>
      <c r="X14" s="61"/>
      <c r="Y14" s="62">
        <f ca="1" t="shared" si="8"/>
        <v>830.419</v>
      </c>
      <c r="Z14" s="35" t="s">
        <v>75</v>
      </c>
      <c r="AA14" s="35">
        <f t="shared" si="9"/>
        <v>5</v>
      </c>
      <c r="AB14" s="35" t="s">
        <v>75</v>
      </c>
      <c r="AC14" s="35">
        <f t="shared" si="10"/>
        <v>10</v>
      </c>
      <c r="AD14" s="35" t="s">
        <v>75</v>
      </c>
      <c r="AE14" s="35">
        <f t="shared" si="11"/>
        <v>5</v>
      </c>
      <c r="AF14" s="63">
        <f t="shared" si="12"/>
        <v>30</v>
      </c>
      <c r="AG14" s="58">
        <f ca="1" t="shared" si="13"/>
        <v>26</v>
      </c>
      <c r="AH14" s="35">
        <f ca="1" t="shared" si="14"/>
        <v>78</v>
      </c>
      <c r="AI14" s="64">
        <f ca="1" t="shared" si="15"/>
        <v>10</v>
      </c>
      <c r="AJ14" s="35">
        <f ca="1" t="shared" si="16"/>
        <v>60</v>
      </c>
      <c r="AK14" s="35">
        <f t="shared" si="17"/>
        <v>10</v>
      </c>
      <c r="AL14" s="64">
        <f ca="1" t="shared" si="18"/>
        <v>33</v>
      </c>
      <c r="AM14" s="35">
        <f ca="1" t="shared" si="19"/>
        <v>198</v>
      </c>
      <c r="AN14" s="35">
        <f t="shared" si="20"/>
        <v>10</v>
      </c>
      <c r="AO14" s="64">
        <f ca="1" t="shared" si="21"/>
        <v>17</v>
      </c>
      <c r="AP14" s="35">
        <f ca="1" t="shared" si="22"/>
        <v>102</v>
      </c>
      <c r="AQ14" s="35">
        <f t="shared" si="23"/>
        <v>0</v>
      </c>
      <c r="AR14" s="64">
        <f ca="1" t="shared" si="24"/>
        <v>0</v>
      </c>
      <c r="AS14" s="35">
        <f ca="1" t="shared" si="25"/>
        <v>0</v>
      </c>
      <c r="AT14" s="65">
        <f>VLOOKUP(B14,经历时间!A:B,2,FALSE)</f>
        <v>2074.19</v>
      </c>
      <c r="AU14" s="67">
        <f t="shared" si="26"/>
        <v>207.419</v>
      </c>
      <c r="AV14" s="35">
        <f ca="1" t="shared" si="27"/>
        <v>53</v>
      </c>
      <c r="AW14" s="24">
        <v>21.5</v>
      </c>
      <c r="AX14" s="35">
        <v>-5</v>
      </c>
      <c r="AY14" s="24">
        <f ca="1">IFERROR(VLOOKUP(B14,'兼职+帮忙'!B:AF,28,FALSE),0)</f>
        <v>148.5</v>
      </c>
      <c r="AZ14" s="35"/>
    </row>
    <row r="15" s="43" customFormat="1" ht="15.6" customHeight="1" spans="1:52">
      <c r="A15" s="35">
        <v>251924</v>
      </c>
      <c r="B15" s="35" t="s">
        <v>95</v>
      </c>
      <c r="C15" s="35" t="str">
        <f>VLOOKUP(B15,'姓名+分部'!A:B,2,FALSE)</f>
        <v>一分部</v>
      </c>
      <c r="D15" s="57" t="s">
        <v>48</v>
      </c>
      <c r="E15" s="58">
        <f ca="1" t="shared" si="28"/>
        <v>13</v>
      </c>
      <c r="F15" s="35" t="str">
        <f ca="1" t="shared" si="0"/>
        <v>可流转</v>
      </c>
      <c r="G15" s="35" t="str">
        <f t="shared" si="1"/>
        <v>不考核</v>
      </c>
      <c r="H15" s="59" t="str">
        <f t="shared" si="2"/>
        <v>完成考核</v>
      </c>
      <c r="I15" s="60">
        <v>43825</v>
      </c>
      <c r="J15" s="35">
        <f t="shared" si="3"/>
        <v>6</v>
      </c>
      <c r="K15" s="61">
        <v>44031</v>
      </c>
      <c r="L15" s="58">
        <f t="shared" si="29"/>
        <v>30</v>
      </c>
      <c r="M15" s="58">
        <f t="shared" si="30"/>
        <v>23</v>
      </c>
      <c r="N15" s="61">
        <v>44752</v>
      </c>
      <c r="O15" s="58">
        <f t="shared" si="4"/>
        <v>39</v>
      </c>
      <c r="P15" s="58">
        <f t="shared" si="31"/>
        <v>8</v>
      </c>
      <c r="Q15" s="61">
        <v>45017</v>
      </c>
      <c r="R15" s="59"/>
      <c r="S15" s="35">
        <f t="shared" si="5"/>
        <v>41</v>
      </c>
      <c r="T15" s="60">
        <v>45085</v>
      </c>
      <c r="U15" s="35">
        <f t="shared" si="6"/>
        <v>41</v>
      </c>
      <c r="V15" s="61">
        <v>45085</v>
      </c>
      <c r="W15" s="35">
        <f t="shared" si="7"/>
        <v>61</v>
      </c>
      <c r="X15" s="61">
        <v>45703</v>
      </c>
      <c r="Y15" s="62">
        <f ca="1" t="shared" si="8"/>
        <v>1041.443</v>
      </c>
      <c r="Z15" s="35" t="s">
        <v>75</v>
      </c>
      <c r="AA15" s="35">
        <f t="shared" si="9"/>
        <v>5</v>
      </c>
      <c r="AB15" s="35" t="s">
        <v>75</v>
      </c>
      <c r="AC15" s="35">
        <f t="shared" si="10"/>
        <v>10</v>
      </c>
      <c r="AD15" s="35" t="s">
        <v>75</v>
      </c>
      <c r="AE15" s="35">
        <f t="shared" si="11"/>
        <v>5</v>
      </c>
      <c r="AF15" s="63">
        <f t="shared" si="12"/>
        <v>30</v>
      </c>
      <c r="AG15" s="58">
        <f ca="1" t="shared" si="13"/>
        <v>42</v>
      </c>
      <c r="AH15" s="35">
        <f ca="1" t="shared" si="14"/>
        <v>126</v>
      </c>
      <c r="AI15" s="64">
        <f ca="1" t="shared" si="15"/>
        <v>33</v>
      </c>
      <c r="AJ15" s="35">
        <f ca="1" t="shared" si="16"/>
        <v>198</v>
      </c>
      <c r="AK15" s="35">
        <f t="shared" si="17"/>
        <v>10</v>
      </c>
      <c r="AL15" s="64">
        <f ca="1" t="shared" si="18"/>
        <v>31</v>
      </c>
      <c r="AM15" s="35">
        <f ca="1" t="shared" si="19"/>
        <v>186</v>
      </c>
      <c r="AN15" s="35">
        <f t="shared" si="20"/>
        <v>10</v>
      </c>
      <c r="AO15" s="64">
        <f ca="1" t="shared" si="21"/>
        <v>31</v>
      </c>
      <c r="AP15" s="35">
        <f ca="1" t="shared" si="22"/>
        <v>186</v>
      </c>
      <c r="AQ15" s="35">
        <f t="shared" si="23"/>
        <v>10</v>
      </c>
      <c r="AR15" s="64">
        <f ca="1" t="shared" si="24"/>
        <v>11</v>
      </c>
      <c r="AS15" s="35">
        <f ca="1" t="shared" si="25"/>
        <v>66</v>
      </c>
      <c r="AT15" s="65">
        <f>VLOOKUP(B15,经历时间!A:B,2,FALSE)</f>
        <v>2559.43</v>
      </c>
      <c r="AU15" s="67">
        <f t="shared" si="26"/>
        <v>255.943</v>
      </c>
      <c r="AV15" s="35">
        <f ca="1" t="shared" si="27"/>
        <v>72</v>
      </c>
      <c r="AW15" s="24">
        <v>3.5</v>
      </c>
      <c r="AX15" s="35"/>
      <c r="AY15" s="24">
        <f ca="1">IFERROR(VLOOKUP(B15,'兼职+帮忙'!B:AF,28,FALSE),0)</f>
        <v>0</v>
      </c>
      <c r="AZ15" s="35"/>
    </row>
    <row r="16" s="43" customFormat="1" ht="15.6" customHeight="1" spans="1:52">
      <c r="A16" s="35">
        <v>265801</v>
      </c>
      <c r="B16" s="35" t="s">
        <v>96</v>
      </c>
      <c r="C16" s="35" t="str">
        <f>VLOOKUP(B16,'姓名+分部'!A:B,2,FALSE)</f>
        <v>二分部</v>
      </c>
      <c r="D16" s="57" t="s">
        <v>48</v>
      </c>
      <c r="E16" s="58">
        <f ca="1" t="shared" si="28"/>
        <v>21</v>
      </c>
      <c r="F16" s="35" t="str">
        <f ca="1" t="shared" si="0"/>
        <v>继续培训</v>
      </c>
      <c r="G16" s="35" t="str">
        <f t="shared" si="1"/>
        <v>不考核</v>
      </c>
      <c r="H16" s="59" t="str">
        <f t="shared" si="2"/>
        <v>完成考核</v>
      </c>
      <c r="I16" s="60">
        <v>44421</v>
      </c>
      <c r="J16" s="35">
        <f t="shared" si="3"/>
        <v>19</v>
      </c>
      <c r="K16" s="61">
        <v>45009</v>
      </c>
      <c r="L16" s="58">
        <f t="shared" si="29"/>
        <v>29</v>
      </c>
      <c r="M16" s="58">
        <f t="shared" si="30"/>
        <v>10</v>
      </c>
      <c r="N16" s="61">
        <v>45327</v>
      </c>
      <c r="O16" s="58">
        <f t="shared" si="4"/>
        <v>42</v>
      </c>
      <c r="P16" s="58">
        <f t="shared" si="31"/>
        <v>13</v>
      </c>
      <c r="Q16" s="61">
        <v>45727</v>
      </c>
      <c r="R16" s="58"/>
      <c r="S16" s="35">
        <f t="shared" si="5"/>
        <v>22</v>
      </c>
      <c r="T16" s="60">
        <v>45112</v>
      </c>
      <c r="U16" s="35">
        <f t="shared" si="6"/>
        <v>28</v>
      </c>
      <c r="V16" s="61">
        <v>45286</v>
      </c>
      <c r="W16" s="35">
        <f t="shared" si="7"/>
        <v>42</v>
      </c>
      <c r="X16" s="61">
        <v>45709</v>
      </c>
      <c r="Y16" s="62">
        <f ca="1" t="shared" si="8"/>
        <v>744.155</v>
      </c>
      <c r="Z16" s="58" t="s">
        <v>75</v>
      </c>
      <c r="AA16" s="35">
        <f t="shared" si="9"/>
        <v>5</v>
      </c>
      <c r="AB16" s="35" t="s">
        <v>75</v>
      </c>
      <c r="AC16" s="35">
        <f t="shared" si="10"/>
        <v>10</v>
      </c>
      <c r="AD16" s="35" t="s">
        <v>75</v>
      </c>
      <c r="AE16" s="35">
        <f t="shared" si="11"/>
        <v>5</v>
      </c>
      <c r="AF16" s="63">
        <f t="shared" si="12"/>
        <v>30</v>
      </c>
      <c r="AG16" s="64">
        <f ca="1" t="shared" si="13"/>
        <v>23</v>
      </c>
      <c r="AH16" s="35">
        <f ca="1" t="shared" si="14"/>
        <v>69</v>
      </c>
      <c r="AI16" s="64">
        <f ca="1" t="shared" si="15"/>
        <v>10</v>
      </c>
      <c r="AJ16" s="35">
        <f ca="1" t="shared" si="16"/>
        <v>60</v>
      </c>
      <c r="AK16" s="35">
        <f t="shared" si="17"/>
        <v>10</v>
      </c>
      <c r="AL16" s="64">
        <f ca="1" t="shared" si="18"/>
        <v>30</v>
      </c>
      <c r="AM16" s="35">
        <f ca="1" t="shared" si="19"/>
        <v>180</v>
      </c>
      <c r="AN16" s="35">
        <f t="shared" si="20"/>
        <v>10</v>
      </c>
      <c r="AO16" s="64">
        <f ca="1" t="shared" si="21"/>
        <v>24</v>
      </c>
      <c r="AP16" s="35">
        <f ca="1" t="shared" si="22"/>
        <v>144</v>
      </c>
      <c r="AQ16" s="35">
        <f t="shared" si="23"/>
        <v>10</v>
      </c>
      <c r="AR16" s="64">
        <f ca="1" t="shared" si="24"/>
        <v>10</v>
      </c>
      <c r="AS16" s="35">
        <f ca="1" t="shared" si="25"/>
        <v>60</v>
      </c>
      <c r="AT16" s="65">
        <f>VLOOKUP(B16,经历时间!A:B,2,FALSE)</f>
        <v>1994.55</v>
      </c>
      <c r="AU16" s="67">
        <f t="shared" si="26"/>
        <v>199.455</v>
      </c>
      <c r="AV16" s="35">
        <f ca="1" t="shared" si="27"/>
        <v>53</v>
      </c>
      <c r="AW16" s="24">
        <v>7.7</v>
      </c>
      <c r="AX16" s="35"/>
      <c r="AY16" s="24">
        <f ca="1">IFERROR(VLOOKUP(B16,'兼职+帮忙'!B:AF,28,FALSE),0)</f>
        <v>4</v>
      </c>
      <c r="AZ16" s="35"/>
    </row>
    <row r="17" s="43" customFormat="1" ht="15.6" customHeight="1" spans="1:52">
      <c r="A17" s="35">
        <v>248322</v>
      </c>
      <c r="B17" s="35" t="s">
        <v>97</v>
      </c>
      <c r="C17" s="35" t="str">
        <f>VLOOKUP(B17,'姓名+分部'!A:B,2,FALSE)</f>
        <v>一分部</v>
      </c>
      <c r="D17" s="57" t="s">
        <v>48</v>
      </c>
      <c r="E17" s="58">
        <f ca="1" t="shared" si="28"/>
        <v>19</v>
      </c>
      <c r="F17" s="35" t="str">
        <f ca="1" t="shared" si="0"/>
        <v>继续培训</v>
      </c>
      <c r="G17" s="35" t="str">
        <f t="shared" si="1"/>
        <v>不考核</v>
      </c>
      <c r="H17" s="59" t="str">
        <f t="shared" si="2"/>
        <v>完成考核</v>
      </c>
      <c r="I17" s="60">
        <v>43664</v>
      </c>
      <c r="J17" s="35">
        <f t="shared" si="3"/>
        <v>1</v>
      </c>
      <c r="K17" s="61">
        <v>43697</v>
      </c>
      <c r="L17" s="58">
        <f t="shared" si="29"/>
        <v>26</v>
      </c>
      <c r="M17" s="58">
        <f t="shared" si="30"/>
        <v>24</v>
      </c>
      <c r="N17" s="61">
        <v>44457</v>
      </c>
      <c r="O17" s="58">
        <f t="shared" si="4"/>
        <v>59</v>
      </c>
      <c r="P17" s="58">
        <f t="shared" si="31"/>
        <v>33</v>
      </c>
      <c r="Q17" s="61">
        <v>45467</v>
      </c>
      <c r="R17" s="61"/>
      <c r="S17" s="35">
        <f t="shared" si="5"/>
        <v>42</v>
      </c>
      <c r="T17" s="60">
        <v>44958</v>
      </c>
      <c r="U17" s="35">
        <f t="shared" si="6"/>
        <v>57</v>
      </c>
      <c r="V17" s="61">
        <v>45406</v>
      </c>
      <c r="W17" s="35" t="str">
        <f t="shared" si="7"/>
        <v>未完成</v>
      </c>
      <c r="X17" s="61"/>
      <c r="Y17" s="62">
        <f ca="1" t="shared" si="8"/>
        <v>870.517</v>
      </c>
      <c r="Z17" s="58" t="s">
        <v>75</v>
      </c>
      <c r="AA17" s="35">
        <f t="shared" si="9"/>
        <v>5</v>
      </c>
      <c r="AB17" s="35" t="s">
        <v>75</v>
      </c>
      <c r="AC17" s="35">
        <f t="shared" si="10"/>
        <v>10</v>
      </c>
      <c r="AD17" s="35" t="s">
        <v>75</v>
      </c>
      <c r="AE17" s="35">
        <f t="shared" si="11"/>
        <v>5</v>
      </c>
      <c r="AF17" s="63">
        <f t="shared" si="12"/>
        <v>30</v>
      </c>
      <c r="AG17" s="58">
        <f ca="1" t="shared" si="13"/>
        <v>51</v>
      </c>
      <c r="AH17" s="35">
        <f ca="1" t="shared" si="14"/>
        <v>153</v>
      </c>
      <c r="AI17" s="64">
        <f ca="1" t="shared" si="15"/>
        <v>18</v>
      </c>
      <c r="AJ17" s="35">
        <f ca="1" t="shared" si="16"/>
        <v>108</v>
      </c>
      <c r="AK17" s="35">
        <f t="shared" si="17"/>
        <v>10</v>
      </c>
      <c r="AL17" s="64">
        <f ca="1" t="shared" si="18"/>
        <v>35</v>
      </c>
      <c r="AM17" s="35">
        <f ca="1" t="shared" si="19"/>
        <v>210</v>
      </c>
      <c r="AN17" s="35">
        <f t="shared" si="20"/>
        <v>10</v>
      </c>
      <c r="AO17" s="64">
        <f ca="1" t="shared" si="21"/>
        <v>20</v>
      </c>
      <c r="AP17" s="35">
        <f ca="1" t="shared" si="22"/>
        <v>120</v>
      </c>
      <c r="AQ17" s="35">
        <f t="shared" si="23"/>
        <v>0</v>
      </c>
      <c r="AR17" s="64">
        <f ca="1" t="shared" si="24"/>
        <v>0</v>
      </c>
      <c r="AS17" s="35">
        <f ca="1" t="shared" si="25"/>
        <v>0</v>
      </c>
      <c r="AT17" s="65">
        <f>VLOOKUP(B17,经历时间!A:B,2,FALSE)</f>
        <v>2640.17</v>
      </c>
      <c r="AU17" s="67">
        <f t="shared" si="26"/>
        <v>264.017</v>
      </c>
      <c r="AV17" s="35">
        <f ca="1" t="shared" si="27"/>
        <v>77</v>
      </c>
      <c r="AW17" s="24">
        <v>-4.5</v>
      </c>
      <c r="AX17" s="35"/>
      <c r="AY17" s="24">
        <f ca="1">IFERROR(VLOOKUP(B17,'兼职+帮忙'!B:AF,28,FALSE),0)</f>
        <v>0</v>
      </c>
      <c r="AZ17" s="35"/>
    </row>
    <row r="18" s="43" customFormat="1" ht="15.6" customHeight="1" spans="1:52">
      <c r="A18" s="35">
        <v>257606</v>
      </c>
      <c r="B18" s="35" t="s">
        <v>98</v>
      </c>
      <c r="C18" s="35" t="str">
        <f>VLOOKUP(B18,'姓名+分部'!A:B,2,FALSE)</f>
        <v>二分部</v>
      </c>
      <c r="D18" s="57" t="s">
        <v>48</v>
      </c>
      <c r="E18" s="58">
        <f ca="1" t="shared" si="28"/>
        <v>16</v>
      </c>
      <c r="F18" s="35" t="str">
        <f ca="1" t="shared" si="0"/>
        <v>可流转</v>
      </c>
      <c r="G18" s="35" t="str">
        <f t="shared" si="1"/>
        <v>不考核</v>
      </c>
      <c r="H18" s="59" t="str">
        <f t="shared" si="2"/>
        <v>完成考核</v>
      </c>
      <c r="I18" s="60">
        <v>43865</v>
      </c>
      <c r="J18" s="35">
        <f t="shared" si="3"/>
        <v>9</v>
      </c>
      <c r="K18" s="61">
        <v>44142</v>
      </c>
      <c r="L18" s="58">
        <f t="shared" si="29"/>
        <v>28</v>
      </c>
      <c r="M18" s="58">
        <f t="shared" si="30"/>
        <v>19</v>
      </c>
      <c r="N18" s="61">
        <v>44745</v>
      </c>
      <c r="O18" s="58">
        <f t="shared" si="4"/>
        <v>42</v>
      </c>
      <c r="P18" s="58">
        <f t="shared" si="31"/>
        <v>13</v>
      </c>
      <c r="Q18" s="61">
        <v>45169</v>
      </c>
      <c r="R18" s="59"/>
      <c r="S18" s="35">
        <f t="shared" si="5"/>
        <v>27</v>
      </c>
      <c r="T18" s="60">
        <v>44687</v>
      </c>
      <c r="U18" s="35">
        <f t="shared" si="6"/>
        <v>39</v>
      </c>
      <c r="V18" s="61">
        <v>45075</v>
      </c>
      <c r="W18" s="35" t="str">
        <f t="shared" si="7"/>
        <v>未完成</v>
      </c>
      <c r="X18" s="61"/>
      <c r="Y18" s="62">
        <f ca="1" t="shared" si="8"/>
        <v>1010.237</v>
      </c>
      <c r="Z18" s="35" t="s">
        <v>75</v>
      </c>
      <c r="AA18" s="35">
        <f t="shared" si="9"/>
        <v>5</v>
      </c>
      <c r="AB18" s="35" t="s">
        <v>75</v>
      </c>
      <c r="AC18" s="35">
        <f t="shared" si="10"/>
        <v>10</v>
      </c>
      <c r="AD18" s="35" t="s">
        <v>75</v>
      </c>
      <c r="AE18" s="35">
        <f t="shared" si="11"/>
        <v>5</v>
      </c>
      <c r="AF18" s="63">
        <f t="shared" si="12"/>
        <v>30</v>
      </c>
      <c r="AG18" s="58">
        <f ca="1" t="shared" si="13"/>
        <v>42</v>
      </c>
      <c r="AH18" s="35">
        <f ca="1" t="shared" si="14"/>
        <v>126</v>
      </c>
      <c r="AI18" s="64">
        <f ca="1" t="shared" si="15"/>
        <v>28</v>
      </c>
      <c r="AJ18" s="35">
        <f ca="1" t="shared" si="16"/>
        <v>168</v>
      </c>
      <c r="AK18" s="35">
        <f t="shared" si="17"/>
        <v>10</v>
      </c>
      <c r="AL18" s="64">
        <f ca="1" t="shared" si="18"/>
        <v>44</v>
      </c>
      <c r="AM18" s="35">
        <f ca="1" t="shared" si="19"/>
        <v>264</v>
      </c>
      <c r="AN18" s="35">
        <f t="shared" si="20"/>
        <v>10</v>
      </c>
      <c r="AO18" s="64">
        <f ca="1" t="shared" si="21"/>
        <v>31</v>
      </c>
      <c r="AP18" s="35">
        <f ca="1" t="shared" si="22"/>
        <v>186</v>
      </c>
      <c r="AQ18" s="35">
        <f t="shared" si="23"/>
        <v>0</v>
      </c>
      <c r="AR18" s="64">
        <f ca="1" t="shared" si="24"/>
        <v>0</v>
      </c>
      <c r="AS18" s="35">
        <f ca="1" t="shared" si="25"/>
        <v>0</v>
      </c>
      <c r="AT18" s="65">
        <f>VLOOKUP(B18,经历时间!A:B,2,FALSE)</f>
        <v>2342.37</v>
      </c>
      <c r="AU18" s="67">
        <f t="shared" si="26"/>
        <v>234.237</v>
      </c>
      <c r="AV18" s="35">
        <f ca="1" t="shared" si="27"/>
        <v>71</v>
      </c>
      <c r="AW18" s="24">
        <v>7</v>
      </c>
      <c r="AX18" s="35"/>
      <c r="AY18" s="24">
        <f ca="1">IFERROR(VLOOKUP(B18,'兼职+帮忙'!B:AF,28,FALSE),0)</f>
        <v>5</v>
      </c>
      <c r="AZ18" s="35"/>
    </row>
    <row r="19" s="43" customFormat="1" ht="15.6" customHeight="1" spans="1:52">
      <c r="A19" s="35">
        <v>240677</v>
      </c>
      <c r="B19" s="68" t="s">
        <v>99</v>
      </c>
      <c r="C19" s="35" t="str">
        <f>VLOOKUP(B19,'姓名+分部'!A:B,2,FALSE)</f>
        <v>二分部</v>
      </c>
      <c r="D19" s="57" t="s">
        <v>49</v>
      </c>
      <c r="E19" s="58">
        <f ca="1" t="shared" si="28"/>
        <v>7</v>
      </c>
      <c r="F19" s="35" t="str">
        <f ca="1" t="shared" si="0"/>
        <v>可流转</v>
      </c>
      <c r="G19" s="35" t="str">
        <f t="shared" si="1"/>
        <v>不考核</v>
      </c>
      <c r="H19" s="59" t="str">
        <f t="shared" si="2"/>
        <v>完成考核</v>
      </c>
      <c r="I19" s="60">
        <v>43480</v>
      </c>
      <c r="J19" s="35">
        <f t="shared" si="3"/>
        <v>2</v>
      </c>
      <c r="K19" s="61">
        <v>43553</v>
      </c>
      <c r="L19" s="58">
        <f t="shared" si="29"/>
        <v>18</v>
      </c>
      <c r="M19" s="58">
        <f t="shared" si="30"/>
        <v>15</v>
      </c>
      <c r="N19" s="61">
        <v>44035</v>
      </c>
      <c r="O19" s="58">
        <f t="shared" si="4"/>
        <v>44</v>
      </c>
      <c r="P19" s="58">
        <f t="shared" si="31"/>
        <v>26</v>
      </c>
      <c r="Q19" s="61">
        <v>44835</v>
      </c>
      <c r="R19" s="59">
        <v>45441</v>
      </c>
      <c r="S19" s="35">
        <f t="shared" si="5"/>
        <v>18</v>
      </c>
      <c r="T19" s="60">
        <v>44046</v>
      </c>
      <c r="U19" s="35">
        <f t="shared" si="6"/>
        <v>16</v>
      </c>
      <c r="V19" s="61">
        <v>43993</v>
      </c>
      <c r="W19" s="35">
        <f t="shared" si="7"/>
        <v>69</v>
      </c>
      <c r="X19" s="61">
        <v>45597</v>
      </c>
      <c r="Y19" s="62">
        <f ca="1" t="shared" si="8"/>
        <v>1628.713</v>
      </c>
      <c r="Z19" s="58" t="s">
        <v>75</v>
      </c>
      <c r="AA19" s="35">
        <f t="shared" si="9"/>
        <v>5</v>
      </c>
      <c r="AB19" s="58" t="s">
        <v>75</v>
      </c>
      <c r="AC19" s="35">
        <f t="shared" si="10"/>
        <v>10</v>
      </c>
      <c r="AD19" s="58" t="s">
        <v>75</v>
      </c>
      <c r="AE19" s="35">
        <f t="shared" si="11"/>
        <v>5</v>
      </c>
      <c r="AF19" s="63">
        <f t="shared" si="12"/>
        <v>40</v>
      </c>
      <c r="AG19" s="58">
        <f ca="1" t="shared" si="13"/>
        <v>65</v>
      </c>
      <c r="AH19" s="35">
        <f ca="1" t="shared" si="14"/>
        <v>195</v>
      </c>
      <c r="AI19" s="64">
        <f ca="1" t="shared" si="15"/>
        <v>39</v>
      </c>
      <c r="AJ19" s="35">
        <f ca="1" t="shared" si="16"/>
        <v>234</v>
      </c>
      <c r="AK19" s="35">
        <f t="shared" si="17"/>
        <v>10</v>
      </c>
      <c r="AL19" s="64">
        <f ca="1" t="shared" si="18"/>
        <v>65</v>
      </c>
      <c r="AM19" s="35">
        <f ca="1" t="shared" si="19"/>
        <v>390</v>
      </c>
      <c r="AN19" s="35">
        <f t="shared" si="20"/>
        <v>10</v>
      </c>
      <c r="AO19" s="64">
        <f ca="1" t="shared" si="21"/>
        <v>67</v>
      </c>
      <c r="AP19" s="35">
        <f ca="1" t="shared" si="22"/>
        <v>402</v>
      </c>
      <c r="AQ19" s="35">
        <f t="shared" si="23"/>
        <v>10</v>
      </c>
      <c r="AR19" s="64">
        <f ca="1" t="shared" si="24"/>
        <v>14</v>
      </c>
      <c r="AS19" s="35">
        <f ca="1" t="shared" si="25"/>
        <v>84</v>
      </c>
      <c r="AT19" s="65">
        <f>VLOOKUP(B19,经历时间!A:B,2,FALSE)</f>
        <v>3037.13</v>
      </c>
      <c r="AU19" s="67">
        <f t="shared" si="26"/>
        <v>303.713</v>
      </c>
      <c r="AV19" s="35">
        <f ca="1" t="shared" si="27"/>
        <v>84</v>
      </c>
      <c r="AW19" s="24">
        <v>0</v>
      </c>
      <c r="AX19" s="35"/>
      <c r="AY19" s="24">
        <f ca="1">IFERROR(VLOOKUP(B19,'兼职+帮忙'!B:AF,28,FALSE),0)</f>
        <v>0</v>
      </c>
      <c r="AZ19" s="35"/>
    </row>
    <row r="20" s="43" customFormat="1" ht="15.6" customHeight="1" spans="1:52">
      <c r="A20" s="58">
        <v>248319</v>
      </c>
      <c r="B20" s="58" t="s">
        <v>100</v>
      </c>
      <c r="C20" s="35" t="str">
        <f>VLOOKUP(B20,'姓名+分部'!A:B,2,FALSE)</f>
        <v>一分部</v>
      </c>
      <c r="D20" s="57" t="s">
        <v>48</v>
      </c>
      <c r="E20" s="58">
        <f ca="1" t="shared" si="28"/>
        <v>15</v>
      </c>
      <c r="F20" s="35" t="str">
        <f ca="1" t="shared" si="0"/>
        <v>可流转</v>
      </c>
      <c r="G20" s="35" t="str">
        <f t="shared" si="1"/>
        <v>不考核</v>
      </c>
      <c r="H20" s="59" t="str">
        <f t="shared" si="2"/>
        <v>完成考核</v>
      </c>
      <c r="I20" s="60">
        <v>43782</v>
      </c>
      <c r="J20" s="35">
        <f t="shared" si="3"/>
        <v>4</v>
      </c>
      <c r="K20" s="61">
        <v>43913</v>
      </c>
      <c r="L20" s="58">
        <f t="shared" si="29"/>
        <v>24</v>
      </c>
      <c r="M20" s="58">
        <f t="shared" si="30"/>
        <v>20</v>
      </c>
      <c r="N20" s="61">
        <v>44529</v>
      </c>
      <c r="O20" s="58">
        <f t="shared" si="4"/>
        <v>57</v>
      </c>
      <c r="P20" s="58">
        <f t="shared" si="31"/>
        <v>32</v>
      </c>
      <c r="Q20" s="61">
        <v>45520</v>
      </c>
      <c r="R20" s="58"/>
      <c r="S20" s="35">
        <f t="shared" si="5"/>
        <v>30</v>
      </c>
      <c r="T20" s="60">
        <v>44699</v>
      </c>
      <c r="U20" s="35">
        <f t="shared" si="6"/>
        <v>44</v>
      </c>
      <c r="V20" s="61">
        <v>45126</v>
      </c>
      <c r="W20" s="35">
        <f t="shared" si="7"/>
        <v>63</v>
      </c>
      <c r="X20" s="61">
        <v>45704</v>
      </c>
      <c r="Y20" s="62">
        <f ca="1" t="shared" si="8"/>
        <v>1025.429</v>
      </c>
      <c r="Z20" s="58" t="s">
        <v>75</v>
      </c>
      <c r="AA20" s="58">
        <f t="shared" si="9"/>
        <v>5</v>
      </c>
      <c r="AB20" s="58" t="s">
        <v>75</v>
      </c>
      <c r="AC20" s="58">
        <f t="shared" si="10"/>
        <v>10</v>
      </c>
      <c r="AD20" s="58" t="s">
        <v>75</v>
      </c>
      <c r="AE20" s="58">
        <f t="shared" si="11"/>
        <v>5</v>
      </c>
      <c r="AF20" s="58">
        <f t="shared" si="12"/>
        <v>30</v>
      </c>
      <c r="AG20" s="58">
        <f ca="1" t="shared" si="13"/>
        <v>49</v>
      </c>
      <c r="AH20" s="35">
        <f ca="1" t="shared" si="14"/>
        <v>147</v>
      </c>
      <c r="AI20" s="58">
        <f ca="1" t="shared" si="15"/>
        <v>17</v>
      </c>
      <c r="AJ20" s="35">
        <f ca="1" t="shared" si="16"/>
        <v>102</v>
      </c>
      <c r="AK20" s="58">
        <f t="shared" si="17"/>
        <v>10</v>
      </c>
      <c r="AL20" s="58">
        <f ca="1" t="shared" si="18"/>
        <v>43</v>
      </c>
      <c r="AM20" s="35">
        <f ca="1" t="shared" si="19"/>
        <v>258</v>
      </c>
      <c r="AN20" s="58">
        <f t="shared" si="20"/>
        <v>10</v>
      </c>
      <c r="AO20" s="58">
        <f ca="1" t="shared" si="21"/>
        <v>29</v>
      </c>
      <c r="AP20" s="35">
        <f ca="1" t="shared" si="22"/>
        <v>174</v>
      </c>
      <c r="AQ20" s="35">
        <f t="shared" si="23"/>
        <v>10</v>
      </c>
      <c r="AR20" s="64">
        <f ca="1" t="shared" si="24"/>
        <v>11</v>
      </c>
      <c r="AS20" s="35">
        <f ca="1" t="shared" si="25"/>
        <v>66</v>
      </c>
      <c r="AT20" s="65">
        <f>VLOOKUP(B20,经历时间!A:B,2,FALSE)</f>
        <v>2630.29</v>
      </c>
      <c r="AU20" s="67">
        <f t="shared" si="26"/>
        <v>263.029</v>
      </c>
      <c r="AV20" s="58">
        <f ca="1" t="shared" si="27"/>
        <v>74</v>
      </c>
      <c r="AW20" s="24">
        <v>-4.6</v>
      </c>
      <c r="AX20" s="35"/>
      <c r="AY20" s="24">
        <f ca="1">IFERROR(VLOOKUP(B20,'兼职+帮忙'!B:AF,28,FALSE),0)</f>
        <v>0</v>
      </c>
      <c r="AZ20" s="35"/>
    </row>
    <row r="21" s="43" customFormat="1" ht="15.6" customHeight="1" spans="1:52">
      <c r="A21" s="57">
        <v>236217</v>
      </c>
      <c r="B21" s="35" t="s">
        <v>101</v>
      </c>
      <c r="C21" s="35" t="str">
        <f>VLOOKUP(B21,'姓名+分部'!A:B,2,FALSE)</f>
        <v>三分部</v>
      </c>
      <c r="D21" s="57" t="s">
        <v>49</v>
      </c>
      <c r="E21" s="58">
        <f ca="1" t="shared" si="28"/>
        <v>6</v>
      </c>
      <c r="F21" s="35" t="str">
        <f ca="1" t="shared" si="0"/>
        <v>可流转</v>
      </c>
      <c r="G21" s="35" t="str">
        <f t="shared" si="1"/>
        <v>不考核</v>
      </c>
      <c r="H21" s="59" t="str">
        <f t="shared" si="2"/>
        <v>完成考核</v>
      </c>
      <c r="I21" s="60">
        <v>43053</v>
      </c>
      <c r="J21" s="35">
        <f t="shared" si="3"/>
        <v>4</v>
      </c>
      <c r="K21" s="61">
        <v>43198</v>
      </c>
      <c r="L21" s="58">
        <f t="shared" si="29"/>
        <v>35</v>
      </c>
      <c r="M21" s="58">
        <f t="shared" si="30"/>
        <v>30</v>
      </c>
      <c r="N21" s="61">
        <v>44124</v>
      </c>
      <c r="O21" s="58">
        <f t="shared" si="4"/>
        <v>65</v>
      </c>
      <c r="P21" s="58">
        <f t="shared" si="31"/>
        <v>30</v>
      </c>
      <c r="Q21" s="61">
        <v>45036</v>
      </c>
      <c r="R21" s="59">
        <v>45750</v>
      </c>
      <c r="S21" s="35">
        <f t="shared" si="5"/>
        <v>28</v>
      </c>
      <c r="T21" s="60">
        <v>43932</v>
      </c>
      <c r="U21" s="35">
        <f t="shared" si="6"/>
        <v>23</v>
      </c>
      <c r="V21" s="61">
        <v>43767</v>
      </c>
      <c r="W21" s="35">
        <f t="shared" si="7"/>
        <v>84</v>
      </c>
      <c r="X21" s="61">
        <v>45629</v>
      </c>
      <c r="Y21" s="62">
        <f ca="1" t="shared" si="8"/>
        <v>1714.3</v>
      </c>
      <c r="Z21" s="35" t="s">
        <v>75</v>
      </c>
      <c r="AA21" s="35">
        <f t="shared" si="9"/>
        <v>5</v>
      </c>
      <c r="AB21" s="35" t="s">
        <v>75</v>
      </c>
      <c r="AC21" s="35">
        <f t="shared" si="10"/>
        <v>10</v>
      </c>
      <c r="AD21" s="35" t="s">
        <v>75</v>
      </c>
      <c r="AE21" s="35">
        <f t="shared" si="11"/>
        <v>5</v>
      </c>
      <c r="AF21" s="63">
        <f t="shared" si="12"/>
        <v>40</v>
      </c>
      <c r="AG21" s="58">
        <f ca="1" t="shared" si="13"/>
        <v>62</v>
      </c>
      <c r="AH21" s="35">
        <f ca="1" t="shared" si="14"/>
        <v>186</v>
      </c>
      <c r="AI21" s="64">
        <f ca="1" t="shared" si="15"/>
        <v>32</v>
      </c>
      <c r="AJ21" s="35">
        <f ca="1" t="shared" si="16"/>
        <v>192</v>
      </c>
      <c r="AK21" s="35">
        <f t="shared" si="17"/>
        <v>10</v>
      </c>
      <c r="AL21" s="64">
        <f ca="1" t="shared" si="18"/>
        <v>69</v>
      </c>
      <c r="AM21" s="35">
        <f ca="1" t="shared" si="19"/>
        <v>414</v>
      </c>
      <c r="AN21" s="35">
        <f t="shared" si="20"/>
        <v>10</v>
      </c>
      <c r="AO21" s="64">
        <f ca="1" t="shared" si="21"/>
        <v>74</v>
      </c>
      <c r="AP21" s="35">
        <f ca="1" t="shared" si="22"/>
        <v>444</v>
      </c>
      <c r="AQ21" s="35">
        <f t="shared" si="23"/>
        <v>10</v>
      </c>
      <c r="AR21" s="64">
        <f ca="1" t="shared" si="24"/>
        <v>13</v>
      </c>
      <c r="AS21" s="35">
        <f ca="1" t="shared" si="25"/>
        <v>78</v>
      </c>
      <c r="AT21" s="65">
        <f>VLOOKUP(B21,经历时间!A:B,2,FALSE)</f>
        <v>3363</v>
      </c>
      <c r="AU21" s="67">
        <f t="shared" si="26"/>
        <v>336.3</v>
      </c>
      <c r="AV21" s="35">
        <f ca="1" t="shared" si="27"/>
        <v>98</v>
      </c>
      <c r="AW21" s="24">
        <v>32</v>
      </c>
      <c r="AX21" s="35"/>
      <c r="AY21" s="24">
        <f ca="1">IFERROR(VLOOKUP(B21,'兼职+帮忙'!B:AF,28,FALSE),0)</f>
        <v>12</v>
      </c>
      <c r="AZ21" s="35"/>
    </row>
    <row r="22" s="43" customFormat="1" ht="15.6" customHeight="1" spans="1:52">
      <c r="A22" s="35">
        <v>257603</v>
      </c>
      <c r="B22" s="35" t="s">
        <v>102</v>
      </c>
      <c r="C22" s="35" t="str">
        <f>VLOOKUP(B22,'姓名+分部'!A:B,2,FALSE)</f>
        <v>三分部</v>
      </c>
      <c r="D22" s="57" t="s">
        <v>48</v>
      </c>
      <c r="E22" s="58">
        <f ca="1" t="shared" si="28"/>
        <v>23</v>
      </c>
      <c r="F22" s="35" t="str">
        <f ca="1" t="shared" si="0"/>
        <v>继续培训</v>
      </c>
      <c r="G22" s="35" t="str">
        <f t="shared" si="1"/>
        <v>不考核</v>
      </c>
      <c r="H22" s="59" t="str">
        <f t="shared" si="2"/>
        <v>完成考核</v>
      </c>
      <c r="I22" s="60">
        <v>43902</v>
      </c>
      <c r="J22" s="35">
        <f t="shared" si="3"/>
        <v>10</v>
      </c>
      <c r="K22" s="61">
        <v>44230</v>
      </c>
      <c r="L22" s="58">
        <f t="shared" si="29"/>
        <v>43</v>
      </c>
      <c r="M22" s="58">
        <f t="shared" si="30"/>
        <v>32</v>
      </c>
      <c r="N22" s="61">
        <v>45215</v>
      </c>
      <c r="O22" s="58">
        <f t="shared" si="4"/>
        <v>61</v>
      </c>
      <c r="P22" s="58">
        <f t="shared" si="31"/>
        <v>18</v>
      </c>
      <c r="Q22" s="61">
        <v>45777</v>
      </c>
      <c r="R22" s="61"/>
      <c r="S22" s="35">
        <f t="shared" si="5"/>
        <v>37</v>
      </c>
      <c r="T22" s="60">
        <v>45050</v>
      </c>
      <c r="U22" s="35">
        <f t="shared" si="6"/>
        <v>55</v>
      </c>
      <c r="V22" s="61">
        <v>45605</v>
      </c>
      <c r="W22" s="35" t="str">
        <f t="shared" si="7"/>
        <v>未完成</v>
      </c>
      <c r="X22" s="61"/>
      <c r="Y22" s="62">
        <f ca="1" t="shared" si="8"/>
        <v>691.242</v>
      </c>
      <c r="Z22" s="58" t="s">
        <v>75</v>
      </c>
      <c r="AA22" s="35">
        <f t="shared" si="9"/>
        <v>5</v>
      </c>
      <c r="AB22" s="35" t="s">
        <v>75</v>
      </c>
      <c r="AC22" s="35">
        <f t="shared" si="10"/>
        <v>10</v>
      </c>
      <c r="AD22" s="35" t="s">
        <v>75</v>
      </c>
      <c r="AE22" s="35">
        <f t="shared" si="11"/>
        <v>5</v>
      </c>
      <c r="AF22" s="63">
        <f t="shared" si="12"/>
        <v>30</v>
      </c>
      <c r="AG22" s="58">
        <f ca="1" t="shared" si="13"/>
        <v>27</v>
      </c>
      <c r="AH22" s="35">
        <f ca="1" t="shared" si="14"/>
        <v>81</v>
      </c>
      <c r="AI22" s="64">
        <f ca="1" t="shared" si="15"/>
        <v>8</v>
      </c>
      <c r="AJ22" s="35">
        <f ca="1" t="shared" si="16"/>
        <v>48</v>
      </c>
      <c r="AK22" s="35">
        <f t="shared" si="17"/>
        <v>10</v>
      </c>
      <c r="AL22" s="64">
        <f ca="1" t="shared" si="18"/>
        <v>32</v>
      </c>
      <c r="AM22" s="35">
        <f ca="1" t="shared" si="19"/>
        <v>192</v>
      </c>
      <c r="AN22" s="35">
        <f t="shared" si="20"/>
        <v>10</v>
      </c>
      <c r="AO22" s="64">
        <f ca="1" t="shared" si="21"/>
        <v>14</v>
      </c>
      <c r="AP22" s="35">
        <f ca="1" t="shared" si="22"/>
        <v>84</v>
      </c>
      <c r="AQ22" s="35">
        <f t="shared" si="23"/>
        <v>0</v>
      </c>
      <c r="AR22" s="64">
        <f ca="1" t="shared" si="24"/>
        <v>0</v>
      </c>
      <c r="AS22" s="35">
        <f ca="1" t="shared" si="25"/>
        <v>0</v>
      </c>
      <c r="AT22" s="65">
        <f>VLOOKUP(B22,经历时间!A:B,2,FALSE)</f>
        <v>2452.42</v>
      </c>
      <c r="AU22" s="67">
        <f t="shared" si="26"/>
        <v>245.242</v>
      </c>
      <c r="AV22" s="35">
        <f ca="1" t="shared" si="27"/>
        <v>70</v>
      </c>
      <c r="AW22" s="24">
        <v>18</v>
      </c>
      <c r="AX22" s="35">
        <v>-5</v>
      </c>
      <c r="AY22" s="24">
        <f ca="1">IFERROR(VLOOKUP(B22,'兼职+帮忙'!B:AF,28,FALSE),0)</f>
        <v>8</v>
      </c>
      <c r="AZ22" s="35"/>
    </row>
    <row r="23" s="43" customFormat="1" ht="15.6" customHeight="1" spans="1:52">
      <c r="A23" s="35">
        <v>253772</v>
      </c>
      <c r="B23" s="35" t="s">
        <v>103</v>
      </c>
      <c r="C23" s="35" t="str">
        <f>VLOOKUP(B23,'姓名+分部'!A:B,2,FALSE)</f>
        <v>三分部</v>
      </c>
      <c r="D23" s="57" t="s">
        <v>48</v>
      </c>
      <c r="E23" s="58">
        <f ca="1" t="shared" si="28"/>
        <v>25</v>
      </c>
      <c r="F23" s="35" t="str">
        <f ca="1" t="shared" si="0"/>
        <v>继续培训</v>
      </c>
      <c r="G23" s="35" t="str">
        <f t="shared" si="1"/>
        <v>不考核</v>
      </c>
      <c r="H23" s="59" t="str">
        <f t="shared" si="2"/>
        <v>完成考核</v>
      </c>
      <c r="I23" s="60">
        <v>43830</v>
      </c>
      <c r="J23" s="35">
        <f t="shared" si="3"/>
        <v>11</v>
      </c>
      <c r="K23" s="61">
        <v>44190</v>
      </c>
      <c r="L23" s="58">
        <f t="shared" si="29"/>
        <v>60</v>
      </c>
      <c r="M23" s="58">
        <f t="shared" si="30"/>
        <v>48</v>
      </c>
      <c r="N23" s="61">
        <v>45679</v>
      </c>
      <c r="O23" s="58">
        <f t="shared" si="4"/>
        <v>66</v>
      </c>
      <c r="P23" s="58">
        <f t="shared" si="31"/>
        <v>5</v>
      </c>
      <c r="Q23" s="61">
        <v>45839</v>
      </c>
      <c r="R23" s="58"/>
      <c r="S23" s="35">
        <f t="shared" si="5"/>
        <v>38</v>
      </c>
      <c r="T23" s="60">
        <v>45009</v>
      </c>
      <c r="U23" s="35">
        <f t="shared" si="6"/>
        <v>48</v>
      </c>
      <c r="V23" s="61">
        <v>45302</v>
      </c>
      <c r="W23" s="35" t="str">
        <f t="shared" si="7"/>
        <v>未完成</v>
      </c>
      <c r="X23" s="61"/>
      <c r="Y23" s="62">
        <f ca="1" t="shared" si="8"/>
        <v>659.802</v>
      </c>
      <c r="Z23" s="58" t="s">
        <v>75</v>
      </c>
      <c r="AA23" s="35">
        <f t="shared" si="9"/>
        <v>5</v>
      </c>
      <c r="AB23" s="35" t="s">
        <v>75</v>
      </c>
      <c r="AC23" s="35">
        <f t="shared" si="10"/>
        <v>10</v>
      </c>
      <c r="AD23" s="35" t="s">
        <v>75</v>
      </c>
      <c r="AE23" s="35">
        <f t="shared" si="11"/>
        <v>5</v>
      </c>
      <c r="AF23" s="63">
        <f t="shared" si="12"/>
        <v>30</v>
      </c>
      <c r="AG23" s="64">
        <f ca="1" t="shared" si="13"/>
        <v>11</v>
      </c>
      <c r="AH23" s="35">
        <f ca="1" t="shared" si="14"/>
        <v>33</v>
      </c>
      <c r="AI23" s="64">
        <f ca="1" t="shared" si="15"/>
        <v>6</v>
      </c>
      <c r="AJ23" s="35">
        <f ca="1" t="shared" si="16"/>
        <v>36</v>
      </c>
      <c r="AK23" s="35">
        <f t="shared" si="17"/>
        <v>10</v>
      </c>
      <c r="AL23" s="64">
        <f ca="1" t="shared" si="18"/>
        <v>33</v>
      </c>
      <c r="AM23" s="35">
        <f ca="1" t="shared" si="19"/>
        <v>198</v>
      </c>
      <c r="AN23" s="35">
        <f t="shared" si="20"/>
        <v>10</v>
      </c>
      <c r="AO23" s="64">
        <f ca="1" t="shared" si="21"/>
        <v>24</v>
      </c>
      <c r="AP23" s="35">
        <f ca="1" t="shared" si="22"/>
        <v>144</v>
      </c>
      <c r="AQ23" s="35">
        <f t="shared" si="23"/>
        <v>0</v>
      </c>
      <c r="AR23" s="64">
        <f ca="1" t="shared" si="24"/>
        <v>0</v>
      </c>
      <c r="AS23" s="35">
        <f ca="1" t="shared" si="25"/>
        <v>0</v>
      </c>
      <c r="AT23" s="65">
        <f>VLOOKUP(B23,经历时间!A:B,2,FALSE)</f>
        <v>2287.02</v>
      </c>
      <c r="AU23" s="67">
        <f t="shared" si="26"/>
        <v>228.702</v>
      </c>
      <c r="AV23" s="35">
        <f ca="1" t="shared" si="27"/>
        <v>72</v>
      </c>
      <c r="AW23" s="24">
        <v>0.1</v>
      </c>
      <c r="AX23" s="35"/>
      <c r="AY23" s="24">
        <f ca="1">IFERROR(VLOOKUP(B23,'兼职+帮忙'!B:AF,28,FALSE),0)</f>
        <v>0</v>
      </c>
      <c r="AZ23" s="35"/>
    </row>
    <row r="24" s="43" customFormat="1" ht="15.6" customHeight="1" spans="1:52">
      <c r="A24" s="35">
        <v>230397</v>
      </c>
      <c r="B24" s="35" t="s">
        <v>104</v>
      </c>
      <c r="C24" s="35" t="str">
        <f>VLOOKUP(B24,'姓名+分部'!A:B,2,FALSE)</f>
        <v>二分部</v>
      </c>
      <c r="D24" s="57" t="s">
        <v>48</v>
      </c>
      <c r="E24" s="58">
        <f ca="1" t="shared" si="28"/>
        <v>9</v>
      </c>
      <c r="F24" s="35" t="str">
        <f ca="1" t="shared" si="0"/>
        <v>可流转</v>
      </c>
      <c r="G24" s="35" t="str">
        <f t="shared" si="1"/>
        <v>不考核</v>
      </c>
      <c r="H24" s="59" t="str">
        <f t="shared" si="2"/>
        <v>完成考核</v>
      </c>
      <c r="I24" s="60">
        <v>43734</v>
      </c>
      <c r="J24" s="35">
        <f t="shared" si="3"/>
        <v>0</v>
      </c>
      <c r="K24" s="61">
        <v>43760</v>
      </c>
      <c r="L24" s="58">
        <f t="shared" si="29"/>
        <v>32</v>
      </c>
      <c r="M24" s="58">
        <f t="shared" si="30"/>
        <v>31</v>
      </c>
      <c r="N24" s="61">
        <v>44716</v>
      </c>
      <c r="O24" s="58">
        <f t="shared" si="4"/>
        <v>47</v>
      </c>
      <c r="P24" s="58">
        <f t="shared" si="31"/>
        <v>14</v>
      </c>
      <c r="Q24" s="61">
        <v>45170</v>
      </c>
      <c r="R24" s="59"/>
      <c r="S24" s="35">
        <f t="shared" si="5"/>
        <v>30</v>
      </c>
      <c r="T24" s="60">
        <v>44667</v>
      </c>
      <c r="U24" s="35">
        <f t="shared" si="6"/>
        <v>16</v>
      </c>
      <c r="V24" s="61">
        <v>44247</v>
      </c>
      <c r="W24" s="35" t="str">
        <f t="shared" si="7"/>
        <v>未完成</v>
      </c>
      <c r="X24" s="61"/>
      <c r="Y24" s="62">
        <f ca="1" t="shared" si="8"/>
        <v>1223.804</v>
      </c>
      <c r="Z24" s="35" t="s">
        <v>75</v>
      </c>
      <c r="AA24" s="35">
        <f t="shared" si="9"/>
        <v>5</v>
      </c>
      <c r="AB24" s="35" t="s">
        <v>75</v>
      </c>
      <c r="AC24" s="35">
        <f t="shared" si="10"/>
        <v>10</v>
      </c>
      <c r="AD24" s="35" t="s">
        <v>75</v>
      </c>
      <c r="AE24" s="35">
        <f t="shared" si="11"/>
        <v>5</v>
      </c>
      <c r="AF24" s="63">
        <f t="shared" si="12"/>
        <v>30</v>
      </c>
      <c r="AG24" s="58">
        <f ca="1" t="shared" si="13"/>
        <v>43</v>
      </c>
      <c r="AH24" s="35">
        <f ca="1" t="shared" si="14"/>
        <v>129</v>
      </c>
      <c r="AI24" s="64">
        <f ca="1" t="shared" si="15"/>
        <v>28</v>
      </c>
      <c r="AJ24" s="35">
        <f ca="1" t="shared" si="16"/>
        <v>168</v>
      </c>
      <c r="AK24" s="35">
        <f t="shared" si="17"/>
        <v>10</v>
      </c>
      <c r="AL24" s="64">
        <f ca="1" t="shared" si="18"/>
        <v>45</v>
      </c>
      <c r="AM24" s="35">
        <f ca="1" t="shared" si="19"/>
        <v>270</v>
      </c>
      <c r="AN24" s="35">
        <f t="shared" si="20"/>
        <v>10</v>
      </c>
      <c r="AO24" s="64">
        <f ca="1" t="shared" si="21"/>
        <v>58</v>
      </c>
      <c r="AP24" s="35">
        <f ca="1" t="shared" si="22"/>
        <v>348</v>
      </c>
      <c r="AQ24" s="35">
        <f t="shared" si="23"/>
        <v>0</v>
      </c>
      <c r="AR24" s="64">
        <f ca="1" t="shared" si="24"/>
        <v>0</v>
      </c>
      <c r="AS24" s="35">
        <f ca="1" t="shared" si="25"/>
        <v>0</v>
      </c>
      <c r="AT24" s="65">
        <f>VLOOKUP(B24,经历时间!A:B,2,FALSE)</f>
        <v>2868.04</v>
      </c>
      <c r="AU24" s="67">
        <f t="shared" si="26"/>
        <v>286.804</v>
      </c>
      <c r="AV24" s="35">
        <f ca="1" t="shared" si="27"/>
        <v>75</v>
      </c>
      <c r="AW24" s="24">
        <v>1</v>
      </c>
      <c r="AX24" s="35"/>
      <c r="AY24" s="24">
        <f ca="1">IFERROR(VLOOKUP(B24,'兼职+帮忙'!B:AF,28,FALSE),0)</f>
        <v>1</v>
      </c>
      <c r="AZ24" s="35"/>
    </row>
    <row r="25" s="43" customFormat="1" ht="15.6" customHeight="1" spans="1:52">
      <c r="A25" s="35">
        <v>261764</v>
      </c>
      <c r="B25" s="35" t="s">
        <v>105</v>
      </c>
      <c r="C25" s="35" t="str">
        <f>VLOOKUP(B25,'姓名+分部'!A:B,2,FALSE)</f>
        <v>三分部</v>
      </c>
      <c r="D25" s="57" t="s">
        <v>48</v>
      </c>
      <c r="E25" s="58">
        <f ca="1" t="shared" si="28"/>
        <v>22</v>
      </c>
      <c r="F25" s="35" t="str">
        <f ca="1" t="shared" si="0"/>
        <v>继续培训</v>
      </c>
      <c r="G25" s="35" t="str">
        <f t="shared" si="1"/>
        <v>不考核</v>
      </c>
      <c r="H25" s="59" t="str">
        <f t="shared" si="2"/>
        <v>完成考核</v>
      </c>
      <c r="I25" s="60">
        <v>44407</v>
      </c>
      <c r="J25" s="35">
        <f t="shared" si="3"/>
        <v>14</v>
      </c>
      <c r="K25" s="61">
        <v>44847</v>
      </c>
      <c r="L25" s="58">
        <f t="shared" si="29"/>
        <v>29</v>
      </c>
      <c r="M25" s="58">
        <f t="shared" si="30"/>
        <v>15</v>
      </c>
      <c r="N25" s="61">
        <v>45306</v>
      </c>
      <c r="O25" s="58">
        <f t="shared" si="4"/>
        <v>38</v>
      </c>
      <c r="P25" s="58">
        <f t="shared" si="31"/>
        <v>8</v>
      </c>
      <c r="Q25" s="61">
        <v>45571</v>
      </c>
      <c r="R25" s="58"/>
      <c r="S25" s="35">
        <f t="shared" si="5"/>
        <v>19</v>
      </c>
      <c r="T25" s="60">
        <v>45009</v>
      </c>
      <c r="U25" s="35">
        <f t="shared" si="6"/>
        <v>32</v>
      </c>
      <c r="V25" s="61">
        <v>45397</v>
      </c>
      <c r="W25" s="35" t="str">
        <f t="shared" si="7"/>
        <v>未完成</v>
      </c>
      <c r="X25" s="61"/>
      <c r="Y25" s="62">
        <f ca="1" t="shared" si="8"/>
        <v>691.256</v>
      </c>
      <c r="Z25" s="58" t="s">
        <v>75</v>
      </c>
      <c r="AA25" s="35">
        <f t="shared" si="9"/>
        <v>5</v>
      </c>
      <c r="AB25" s="35" t="s">
        <v>75</v>
      </c>
      <c r="AC25" s="35">
        <f t="shared" si="10"/>
        <v>10</v>
      </c>
      <c r="AD25" s="35" t="s">
        <v>75</v>
      </c>
      <c r="AE25" s="35">
        <f t="shared" si="11"/>
        <v>5</v>
      </c>
      <c r="AF25" s="63">
        <f t="shared" si="12"/>
        <v>30</v>
      </c>
      <c r="AG25" s="64">
        <f ca="1" t="shared" si="13"/>
        <v>24</v>
      </c>
      <c r="AH25" s="35">
        <f ca="1" t="shared" si="14"/>
        <v>72</v>
      </c>
      <c r="AI25" s="64">
        <f ca="1" t="shared" si="15"/>
        <v>15</v>
      </c>
      <c r="AJ25" s="35">
        <f ca="1" t="shared" si="16"/>
        <v>90</v>
      </c>
      <c r="AK25" s="35">
        <f t="shared" si="17"/>
        <v>10</v>
      </c>
      <c r="AL25" s="64">
        <f ca="1" t="shared" si="18"/>
        <v>33</v>
      </c>
      <c r="AM25" s="35">
        <f ca="1" t="shared" si="19"/>
        <v>198</v>
      </c>
      <c r="AN25" s="35">
        <f t="shared" si="20"/>
        <v>10</v>
      </c>
      <c r="AO25" s="64">
        <f ca="1" t="shared" si="21"/>
        <v>21</v>
      </c>
      <c r="AP25" s="35">
        <f ca="1" t="shared" si="22"/>
        <v>126</v>
      </c>
      <c r="AQ25" s="35">
        <f t="shared" si="23"/>
        <v>0</v>
      </c>
      <c r="AR25" s="64">
        <f ca="1" t="shared" si="24"/>
        <v>0</v>
      </c>
      <c r="AS25" s="35">
        <f ca="1" t="shared" si="25"/>
        <v>0</v>
      </c>
      <c r="AT25" s="65">
        <f>VLOOKUP(B25,经历时间!A:B,2,FALSE)</f>
        <v>1850.56</v>
      </c>
      <c r="AU25" s="67">
        <f t="shared" si="26"/>
        <v>185.056</v>
      </c>
      <c r="AV25" s="35">
        <f ca="1" t="shared" si="27"/>
        <v>53</v>
      </c>
      <c r="AW25" s="24">
        <v>0.2</v>
      </c>
      <c r="AX25" s="35"/>
      <c r="AY25" s="24">
        <f ca="1">IFERROR(VLOOKUP(B25,'兼职+帮忙'!B:AF,28,FALSE),0)</f>
        <v>0</v>
      </c>
      <c r="AZ25" s="35"/>
    </row>
    <row r="26" s="43" customFormat="1" ht="15.6" customHeight="1" spans="1:52">
      <c r="A26" s="35">
        <v>265806</v>
      </c>
      <c r="B26" s="35" t="s">
        <v>106</v>
      </c>
      <c r="C26" s="35" t="str">
        <f>VLOOKUP(B26,'姓名+分部'!A:B,2,FALSE)</f>
        <v>三分部</v>
      </c>
      <c r="D26" s="57" t="s">
        <v>48</v>
      </c>
      <c r="E26" s="58">
        <f ca="1" t="shared" si="28"/>
        <v>24</v>
      </c>
      <c r="F26" s="35" t="str">
        <f ca="1" t="shared" si="0"/>
        <v>继续培训</v>
      </c>
      <c r="G26" s="35" t="str">
        <f t="shared" si="1"/>
        <v>不考核</v>
      </c>
      <c r="H26" s="59" t="str">
        <f t="shared" si="2"/>
        <v>完成考核</v>
      </c>
      <c r="I26" s="60">
        <v>44420</v>
      </c>
      <c r="J26" s="35">
        <f t="shared" si="3"/>
        <v>9</v>
      </c>
      <c r="K26" s="61">
        <v>44719</v>
      </c>
      <c r="L26" s="58">
        <f t="shared" si="29"/>
        <v>33</v>
      </c>
      <c r="M26" s="58">
        <f t="shared" si="30"/>
        <v>23</v>
      </c>
      <c r="N26" s="61">
        <v>45432</v>
      </c>
      <c r="O26" s="58">
        <f t="shared" si="4"/>
        <v>41</v>
      </c>
      <c r="P26" s="58">
        <f t="shared" si="31"/>
        <v>8</v>
      </c>
      <c r="Q26" s="61">
        <v>45693</v>
      </c>
      <c r="R26" s="58"/>
      <c r="S26" s="35">
        <f t="shared" si="5"/>
        <v>24</v>
      </c>
      <c r="T26" s="60">
        <v>45152</v>
      </c>
      <c r="U26" s="35">
        <f t="shared" si="6"/>
        <v>32</v>
      </c>
      <c r="V26" s="61">
        <v>45397</v>
      </c>
      <c r="W26" s="35" t="str">
        <f t="shared" si="7"/>
        <v>未完成</v>
      </c>
      <c r="X26" s="61"/>
      <c r="Y26" s="62">
        <f ca="1" t="shared" si="8"/>
        <v>660.536</v>
      </c>
      <c r="Z26" s="58" t="s">
        <v>75</v>
      </c>
      <c r="AA26" s="35">
        <f t="shared" si="9"/>
        <v>5</v>
      </c>
      <c r="AB26" s="35" t="s">
        <v>75</v>
      </c>
      <c r="AC26" s="35">
        <f t="shared" si="10"/>
        <v>10</v>
      </c>
      <c r="AD26" s="35" t="s">
        <v>75</v>
      </c>
      <c r="AE26" s="35">
        <f t="shared" si="11"/>
        <v>5</v>
      </c>
      <c r="AF26" s="63">
        <f t="shared" si="12"/>
        <v>30</v>
      </c>
      <c r="AG26" s="64">
        <f ca="1" t="shared" si="13"/>
        <v>19</v>
      </c>
      <c r="AH26" s="35">
        <f ca="1" t="shared" si="14"/>
        <v>57</v>
      </c>
      <c r="AI26" s="64">
        <f ca="1" t="shared" si="15"/>
        <v>11</v>
      </c>
      <c r="AJ26" s="35">
        <f ca="1" t="shared" si="16"/>
        <v>66</v>
      </c>
      <c r="AK26" s="35">
        <f t="shared" si="17"/>
        <v>10</v>
      </c>
      <c r="AL26" s="64">
        <f ca="1" t="shared" si="18"/>
        <v>29</v>
      </c>
      <c r="AM26" s="35">
        <f ca="1" t="shared" si="19"/>
        <v>174</v>
      </c>
      <c r="AN26" s="35">
        <f t="shared" si="20"/>
        <v>10</v>
      </c>
      <c r="AO26" s="64">
        <f ca="1" t="shared" si="21"/>
        <v>21</v>
      </c>
      <c r="AP26" s="35">
        <f ca="1" t="shared" si="22"/>
        <v>126</v>
      </c>
      <c r="AQ26" s="35">
        <f t="shared" si="23"/>
        <v>0</v>
      </c>
      <c r="AR26" s="64">
        <f ca="1" t="shared" si="24"/>
        <v>0</v>
      </c>
      <c r="AS26" s="35">
        <f ca="1" t="shared" si="25"/>
        <v>0</v>
      </c>
      <c r="AT26" s="65">
        <f>VLOOKUP(B26,经历时间!A:B,2,FALSE)</f>
        <v>2175.36</v>
      </c>
      <c r="AU26" s="67">
        <f t="shared" si="26"/>
        <v>217.536</v>
      </c>
      <c r="AV26" s="35">
        <f ca="1" t="shared" si="27"/>
        <v>53</v>
      </c>
      <c r="AW26" s="24">
        <v>0</v>
      </c>
      <c r="AX26" s="35"/>
      <c r="AY26" s="24">
        <f ca="1">IFERROR(VLOOKUP(B26,'兼职+帮忙'!B:AF,28,FALSE),0)</f>
        <v>0</v>
      </c>
      <c r="AZ26" s="35"/>
    </row>
    <row r="27" s="43" customFormat="1" ht="15.6" customHeight="1" spans="1:52">
      <c r="A27" s="35">
        <v>253776</v>
      </c>
      <c r="B27" s="35" t="s">
        <v>107</v>
      </c>
      <c r="C27" s="35" t="str">
        <f>VLOOKUP(B27,'姓名+分部'!A:B,2,FALSE)</f>
        <v>二分部</v>
      </c>
      <c r="D27" s="57" t="s">
        <v>45</v>
      </c>
      <c r="E27" s="58" t="str">
        <f ca="1" t="shared" si="28"/>
        <v>无排名</v>
      </c>
      <c r="F27" s="35" t="str">
        <f ca="1" t="shared" si="0"/>
        <v>继续培训</v>
      </c>
      <c r="G27" s="35" t="str">
        <f t="shared" si="1"/>
        <v>不考核</v>
      </c>
      <c r="H27" s="59" t="str">
        <f t="shared" si="2"/>
        <v>完成考核</v>
      </c>
      <c r="I27" s="60">
        <v>43865</v>
      </c>
      <c r="J27" s="35">
        <f t="shared" si="3"/>
        <v>10</v>
      </c>
      <c r="K27" s="61">
        <v>44187</v>
      </c>
      <c r="L27" s="58">
        <f t="shared" si="29"/>
        <v>45</v>
      </c>
      <c r="M27" s="58">
        <f t="shared" si="30"/>
        <v>34</v>
      </c>
      <c r="N27" s="61">
        <v>45243</v>
      </c>
      <c r="O27" s="58" t="str">
        <f t="shared" si="4"/>
        <v>未完成</v>
      </c>
      <c r="P27" s="58" t="str">
        <f t="shared" si="31"/>
        <v>未完成</v>
      </c>
      <c r="Q27" s="61"/>
      <c r="R27" s="61"/>
      <c r="S27" s="35">
        <f t="shared" si="5"/>
        <v>37</v>
      </c>
      <c r="T27" s="60">
        <v>45009</v>
      </c>
      <c r="U27" s="35">
        <f t="shared" si="6"/>
        <v>42</v>
      </c>
      <c r="V27" s="61">
        <v>45155</v>
      </c>
      <c r="W27" s="35" t="str">
        <f t="shared" si="7"/>
        <v>未完成</v>
      </c>
      <c r="X27" s="61"/>
      <c r="Y27" s="62">
        <f ca="1" t="shared" si="8"/>
        <v>470.4</v>
      </c>
      <c r="Z27" s="58" t="s">
        <v>75</v>
      </c>
      <c r="AA27" s="35">
        <f t="shared" si="9"/>
        <v>5</v>
      </c>
      <c r="AB27" s="35" t="s">
        <v>75</v>
      </c>
      <c r="AC27" s="35">
        <f t="shared" si="10"/>
        <v>10</v>
      </c>
      <c r="AD27" s="35" t="s">
        <v>75</v>
      </c>
      <c r="AE27" s="35">
        <f t="shared" si="11"/>
        <v>5</v>
      </c>
      <c r="AF27" s="63">
        <f t="shared" si="12"/>
        <v>20</v>
      </c>
      <c r="AG27" s="58">
        <f ca="1" t="shared" si="13"/>
        <v>26</v>
      </c>
      <c r="AH27" s="35">
        <f ca="1" t="shared" si="14"/>
        <v>78</v>
      </c>
      <c r="AI27" s="64">
        <f ca="1" t="shared" si="15"/>
        <v>0</v>
      </c>
      <c r="AJ27" s="35">
        <f ca="1" t="shared" si="16"/>
        <v>0</v>
      </c>
      <c r="AK27" s="35">
        <f t="shared" si="17"/>
        <v>10</v>
      </c>
      <c r="AL27" s="64">
        <f ca="1" t="shared" si="18"/>
        <v>33</v>
      </c>
      <c r="AM27" s="35">
        <f ca="1" t="shared" si="19"/>
        <v>198</v>
      </c>
      <c r="AN27" s="35">
        <f t="shared" si="20"/>
        <v>10</v>
      </c>
      <c r="AO27" s="64">
        <f ca="1" t="shared" si="21"/>
        <v>28</v>
      </c>
      <c r="AP27" s="35">
        <f ca="1" t="shared" si="22"/>
        <v>168</v>
      </c>
      <c r="AQ27" s="35">
        <f t="shared" si="23"/>
        <v>0</v>
      </c>
      <c r="AR27" s="64">
        <f ca="1" t="shared" si="24"/>
        <v>0</v>
      </c>
      <c r="AS27" s="35">
        <f ca="1" t="shared" si="25"/>
        <v>0</v>
      </c>
      <c r="AT27" s="65">
        <f>VLOOKUP(B27,经历时间!A:B,2,FALSE)</f>
        <v>2321.23</v>
      </c>
      <c r="AU27" s="67">
        <f t="shared" si="26"/>
        <v>0</v>
      </c>
      <c r="AV27" s="35">
        <f ca="1" t="shared" si="27"/>
        <v>71</v>
      </c>
      <c r="AW27" s="24">
        <v>1.4</v>
      </c>
      <c r="AX27" s="35"/>
      <c r="AY27" s="24">
        <f ca="1">IFERROR(VLOOKUP(B27,'兼职+帮忙'!B:AF,28,FALSE),0)</f>
        <v>5</v>
      </c>
      <c r="AZ27" s="35"/>
    </row>
    <row r="28" s="43" customFormat="1" ht="15.6" customHeight="1" spans="1:52">
      <c r="A28" s="35">
        <v>257697</v>
      </c>
      <c r="B28" s="35" t="s">
        <v>108</v>
      </c>
      <c r="C28" s="35" t="str">
        <f>VLOOKUP(B28,'姓名+分部'!A:B,2,FALSE)</f>
        <v>三分部</v>
      </c>
      <c r="D28" s="57" t="s">
        <v>48</v>
      </c>
      <c r="E28" s="58">
        <f ca="1" t="shared" si="28"/>
        <v>26</v>
      </c>
      <c r="F28" s="35" t="str">
        <f ca="1" t="shared" si="0"/>
        <v>继续培训</v>
      </c>
      <c r="G28" s="35" t="str">
        <f t="shared" si="1"/>
        <v>不考核</v>
      </c>
      <c r="H28" s="59" t="str">
        <f t="shared" si="2"/>
        <v>完成考核</v>
      </c>
      <c r="I28" s="69">
        <v>44116</v>
      </c>
      <c r="J28" s="35">
        <f t="shared" si="3"/>
        <v>6</v>
      </c>
      <c r="K28" s="59">
        <v>44309</v>
      </c>
      <c r="L28" s="58">
        <f t="shared" si="29"/>
        <v>29</v>
      </c>
      <c r="M28" s="58">
        <f t="shared" si="30"/>
        <v>23</v>
      </c>
      <c r="N28" s="59">
        <v>45012</v>
      </c>
      <c r="O28" s="58">
        <f t="shared" si="4"/>
        <v>60</v>
      </c>
      <c r="P28" s="58">
        <f t="shared" si="31"/>
        <v>31</v>
      </c>
      <c r="Q28" s="59">
        <v>45959</v>
      </c>
      <c r="R28" s="35"/>
      <c r="S28" s="35">
        <f t="shared" si="5"/>
        <v>43</v>
      </c>
      <c r="T28" s="60">
        <v>45454</v>
      </c>
      <c r="U28" s="35">
        <f t="shared" si="6"/>
        <v>35</v>
      </c>
      <c r="V28" s="59">
        <v>45181</v>
      </c>
      <c r="W28" s="35" t="str">
        <f t="shared" si="7"/>
        <v>未完成</v>
      </c>
      <c r="X28" s="61"/>
      <c r="Y28" s="62">
        <f ca="1" t="shared" si="8"/>
        <v>651.346</v>
      </c>
      <c r="Z28" s="58" t="s">
        <v>75</v>
      </c>
      <c r="AA28" s="35">
        <f t="shared" si="9"/>
        <v>5</v>
      </c>
      <c r="AB28" s="58" t="s">
        <v>75</v>
      </c>
      <c r="AC28" s="35">
        <f t="shared" si="10"/>
        <v>10</v>
      </c>
      <c r="AD28" s="58" t="s">
        <v>75</v>
      </c>
      <c r="AE28" s="35">
        <f t="shared" si="11"/>
        <v>5</v>
      </c>
      <c r="AF28" s="63">
        <f t="shared" si="12"/>
        <v>30</v>
      </c>
      <c r="AG28" s="64">
        <f ca="1" t="shared" si="13"/>
        <v>33</v>
      </c>
      <c r="AH28" s="35">
        <f ca="1" t="shared" si="14"/>
        <v>99</v>
      </c>
      <c r="AI28" s="64">
        <f ca="1" t="shared" si="15"/>
        <v>2</v>
      </c>
      <c r="AJ28" s="35">
        <f ca="1" t="shared" si="16"/>
        <v>12</v>
      </c>
      <c r="AK28" s="35">
        <f t="shared" si="17"/>
        <v>10</v>
      </c>
      <c r="AL28" s="64">
        <f ca="1" t="shared" si="18"/>
        <v>19</v>
      </c>
      <c r="AM28" s="35">
        <f ca="1" t="shared" si="19"/>
        <v>114</v>
      </c>
      <c r="AN28" s="35">
        <f t="shared" si="20"/>
        <v>10</v>
      </c>
      <c r="AO28" s="64">
        <f ca="1" t="shared" si="21"/>
        <v>28</v>
      </c>
      <c r="AP28" s="35">
        <f ca="1" t="shared" si="22"/>
        <v>168</v>
      </c>
      <c r="AQ28" s="35">
        <f t="shared" si="23"/>
        <v>0</v>
      </c>
      <c r="AR28" s="64">
        <f ca="1" t="shared" si="24"/>
        <v>0</v>
      </c>
      <c r="AS28" s="35">
        <f ca="1" t="shared" si="25"/>
        <v>0</v>
      </c>
      <c r="AT28" s="65">
        <f>VLOOKUP(B28,经历时间!A:B,2,FALSE)</f>
        <v>2123.46</v>
      </c>
      <c r="AU28" s="67">
        <f t="shared" si="26"/>
        <v>212.346</v>
      </c>
      <c r="AV28" s="35">
        <f ca="1" t="shared" si="27"/>
        <v>63</v>
      </c>
      <c r="AW28" s="24">
        <v>26</v>
      </c>
      <c r="AX28" s="35"/>
      <c r="AY28" s="24">
        <f ca="1">IFERROR(VLOOKUP(B28,'兼职+帮忙'!B:AF,28,FALSE),0)</f>
        <v>0</v>
      </c>
      <c r="AZ28" s="35"/>
    </row>
    <row r="29" s="43" customFormat="1" ht="15.6" customHeight="1" spans="1:52">
      <c r="A29" s="35">
        <v>266464</v>
      </c>
      <c r="B29" s="35" t="s">
        <v>109</v>
      </c>
      <c r="C29" s="35" t="str">
        <f>VLOOKUP(B29,'姓名+分部'!A:B,2,FALSE)</f>
        <v>二分部</v>
      </c>
      <c r="D29" s="57" t="s">
        <v>45</v>
      </c>
      <c r="E29" s="58" t="str">
        <f ca="1" t="shared" si="28"/>
        <v>无排名</v>
      </c>
      <c r="F29" s="35" t="str">
        <f ca="1" t="shared" si="0"/>
        <v>继续培训</v>
      </c>
      <c r="G29" s="35" t="str">
        <f t="shared" si="1"/>
        <v>不考核</v>
      </c>
      <c r="H29" s="59" t="str">
        <f t="shared" si="2"/>
        <v>完成考核</v>
      </c>
      <c r="I29" s="69">
        <v>44384</v>
      </c>
      <c r="J29" s="35">
        <f t="shared" si="3"/>
        <v>12</v>
      </c>
      <c r="K29" s="59">
        <v>44769</v>
      </c>
      <c r="L29" s="58">
        <f t="shared" si="29"/>
        <v>26</v>
      </c>
      <c r="M29" s="58">
        <f t="shared" si="30"/>
        <v>13</v>
      </c>
      <c r="N29" s="59">
        <v>45185</v>
      </c>
      <c r="O29" s="58" t="str">
        <f t="shared" si="4"/>
        <v>未完成</v>
      </c>
      <c r="P29" s="58" t="str">
        <f t="shared" si="31"/>
        <v>未完成</v>
      </c>
      <c r="Q29" s="35"/>
      <c r="R29" s="35"/>
      <c r="S29" s="35">
        <f t="shared" si="5"/>
        <v>34</v>
      </c>
      <c r="T29" s="60">
        <v>45445</v>
      </c>
      <c r="U29" s="35">
        <f t="shared" si="6"/>
        <v>26</v>
      </c>
      <c r="V29" s="59">
        <v>45181</v>
      </c>
      <c r="W29" s="35" t="str">
        <f t="shared" si="7"/>
        <v>未完成</v>
      </c>
      <c r="X29" s="61"/>
      <c r="Y29" s="62">
        <f ca="1" t="shared" si="8"/>
        <v>413</v>
      </c>
      <c r="Z29" s="58" t="s">
        <v>75</v>
      </c>
      <c r="AA29" s="35">
        <f t="shared" si="9"/>
        <v>5</v>
      </c>
      <c r="AB29" s="58" t="s">
        <v>75</v>
      </c>
      <c r="AC29" s="35">
        <f t="shared" si="10"/>
        <v>10</v>
      </c>
      <c r="AD29" s="58" t="s">
        <v>75</v>
      </c>
      <c r="AE29" s="35">
        <f t="shared" si="11"/>
        <v>5</v>
      </c>
      <c r="AF29" s="63">
        <f t="shared" si="12"/>
        <v>20</v>
      </c>
      <c r="AG29" s="64">
        <f ca="1" t="shared" si="13"/>
        <v>28</v>
      </c>
      <c r="AH29" s="35">
        <f ca="1" t="shared" si="14"/>
        <v>84</v>
      </c>
      <c r="AI29" s="64">
        <f ca="1" t="shared" si="15"/>
        <v>0</v>
      </c>
      <c r="AJ29" s="35">
        <f ca="1" t="shared" si="16"/>
        <v>0</v>
      </c>
      <c r="AK29" s="35">
        <f t="shared" si="17"/>
        <v>10</v>
      </c>
      <c r="AL29" s="64">
        <f ca="1" t="shared" si="18"/>
        <v>19</v>
      </c>
      <c r="AM29" s="35">
        <f ca="1" t="shared" si="19"/>
        <v>114</v>
      </c>
      <c r="AN29" s="35">
        <f t="shared" si="20"/>
        <v>10</v>
      </c>
      <c r="AO29" s="64">
        <f ca="1" t="shared" si="21"/>
        <v>28</v>
      </c>
      <c r="AP29" s="35">
        <f ca="1" t="shared" si="22"/>
        <v>168</v>
      </c>
      <c r="AQ29" s="35">
        <f t="shared" si="23"/>
        <v>0</v>
      </c>
      <c r="AR29" s="64">
        <f ca="1" t="shared" si="24"/>
        <v>0</v>
      </c>
      <c r="AS29" s="35">
        <f ca="1" t="shared" si="25"/>
        <v>0</v>
      </c>
      <c r="AT29" s="65">
        <f>VLOOKUP(B29,经历时间!A:B,2,FALSE)</f>
        <v>1872.08</v>
      </c>
      <c r="AU29" s="67">
        <f t="shared" si="26"/>
        <v>0</v>
      </c>
      <c r="AV29" s="35">
        <f ca="1" t="shared" si="27"/>
        <v>54</v>
      </c>
      <c r="AW29" s="24">
        <v>27</v>
      </c>
      <c r="AX29" s="35"/>
      <c r="AY29" s="24">
        <f ca="1">IFERROR(VLOOKUP(B29,'兼职+帮忙'!B:AF,28,FALSE),0)</f>
        <v>0</v>
      </c>
      <c r="AZ29" s="35"/>
    </row>
    <row r="30" s="43" customFormat="1" ht="15.6" customHeight="1" spans="1:52">
      <c r="A30" s="34">
        <v>246412</v>
      </c>
      <c r="B30" s="70" t="s">
        <v>110</v>
      </c>
      <c r="C30" s="35" t="str">
        <f>VLOOKUP(B30,'姓名+分部'!A:B,2,FALSE)</f>
        <v>三分部</v>
      </c>
      <c r="D30" s="57" t="s">
        <v>45</v>
      </c>
      <c r="E30" s="58" t="str">
        <f ca="1" t="shared" si="28"/>
        <v>无排名</v>
      </c>
      <c r="F30" s="35" t="str">
        <f ca="1" t="shared" si="0"/>
        <v>继续培训</v>
      </c>
      <c r="G30" s="35" t="str">
        <f t="shared" si="1"/>
        <v>不考核</v>
      </c>
      <c r="H30" s="59" t="str">
        <f t="shared" si="2"/>
        <v>完成考核</v>
      </c>
      <c r="I30" s="60">
        <v>43839</v>
      </c>
      <c r="J30" s="35">
        <f t="shared" si="3"/>
        <v>13</v>
      </c>
      <c r="K30" s="61">
        <v>44253</v>
      </c>
      <c r="L30" s="58">
        <f t="shared" si="29"/>
        <v>43</v>
      </c>
      <c r="M30" s="58">
        <f t="shared" si="30"/>
        <v>29</v>
      </c>
      <c r="N30" s="61">
        <v>45157</v>
      </c>
      <c r="O30" s="58" t="str">
        <f t="shared" si="4"/>
        <v>未完成</v>
      </c>
      <c r="P30" s="58" t="str">
        <f t="shared" si="31"/>
        <v>未完成</v>
      </c>
      <c r="Q30" s="58"/>
      <c r="R30" s="58"/>
      <c r="S30" s="35">
        <f t="shared" si="5"/>
        <v>39</v>
      </c>
      <c r="T30" s="60">
        <v>45042</v>
      </c>
      <c r="U30" s="35" t="str">
        <f t="shared" si="6"/>
        <v>未完成</v>
      </c>
      <c r="V30" s="61"/>
      <c r="W30" s="35">
        <f t="shared" si="7"/>
        <v>61</v>
      </c>
      <c r="X30" s="61">
        <v>45723</v>
      </c>
      <c r="Y30" s="62">
        <f ca="1" t="shared" si="8"/>
        <v>356</v>
      </c>
      <c r="Z30" s="58" t="s">
        <v>75</v>
      </c>
      <c r="AA30" s="35">
        <f t="shared" si="9"/>
        <v>5</v>
      </c>
      <c r="AB30" s="35" t="s">
        <v>75</v>
      </c>
      <c r="AC30" s="35">
        <f t="shared" si="10"/>
        <v>10</v>
      </c>
      <c r="AD30" s="35" t="s">
        <v>75</v>
      </c>
      <c r="AE30" s="35">
        <f t="shared" si="11"/>
        <v>5</v>
      </c>
      <c r="AF30" s="63">
        <f t="shared" si="12"/>
        <v>20</v>
      </c>
      <c r="AG30" s="58">
        <f ca="1" t="shared" si="13"/>
        <v>28</v>
      </c>
      <c r="AH30" s="35">
        <f ca="1" t="shared" si="14"/>
        <v>84</v>
      </c>
      <c r="AI30" s="64">
        <f ca="1" t="shared" si="15"/>
        <v>0</v>
      </c>
      <c r="AJ30" s="35">
        <f ca="1" t="shared" si="16"/>
        <v>0</v>
      </c>
      <c r="AK30" s="35">
        <f t="shared" si="17"/>
        <v>10</v>
      </c>
      <c r="AL30" s="64">
        <f ca="1" t="shared" si="18"/>
        <v>32</v>
      </c>
      <c r="AM30" s="35">
        <f ca="1" t="shared" si="19"/>
        <v>192</v>
      </c>
      <c r="AN30" s="35">
        <f t="shared" si="20"/>
        <v>0</v>
      </c>
      <c r="AO30" s="64">
        <f ca="1" t="shared" si="21"/>
        <v>0</v>
      </c>
      <c r="AP30" s="35">
        <f ca="1" t="shared" si="22"/>
        <v>0</v>
      </c>
      <c r="AQ30" s="35">
        <f t="shared" si="23"/>
        <v>10</v>
      </c>
      <c r="AR30" s="64">
        <f ca="1" t="shared" si="24"/>
        <v>10</v>
      </c>
      <c r="AS30" s="35">
        <f ca="1" t="shared" si="25"/>
        <v>60</v>
      </c>
      <c r="AT30" s="65">
        <f>VLOOKUP(B30,经历时间!A:B,2,FALSE)</f>
        <v>2099.32</v>
      </c>
      <c r="AU30" s="67">
        <f t="shared" si="26"/>
        <v>0</v>
      </c>
      <c r="AV30" s="35"/>
      <c r="AW30" s="24">
        <v>0</v>
      </c>
      <c r="AX30" s="35"/>
      <c r="AY30" s="24">
        <f ca="1">IFERROR(VLOOKUP(B30,'兼职+帮忙'!B:AF,28,FALSE),0)</f>
        <v>0</v>
      </c>
      <c r="AZ30" s="35"/>
    </row>
    <row r="31" s="43" customFormat="1" ht="15.6" customHeight="1" spans="1:52">
      <c r="A31" s="35">
        <v>264179</v>
      </c>
      <c r="B31" s="68" t="s">
        <v>111</v>
      </c>
      <c r="C31" s="35" t="str">
        <f>VLOOKUP(B31,'姓名+分部'!A:B,2,FALSE)</f>
        <v>一分部</v>
      </c>
      <c r="D31" s="57" t="s">
        <v>45</v>
      </c>
      <c r="E31" s="58" t="str">
        <f ca="1" t="shared" si="28"/>
        <v>无排名</v>
      </c>
      <c r="F31" s="35" t="str">
        <f ca="1" t="shared" si="0"/>
        <v>继续培训</v>
      </c>
      <c r="G31" s="35" t="str">
        <f t="shared" si="1"/>
        <v>不考核</v>
      </c>
      <c r="H31" s="59" t="str">
        <f t="shared" si="2"/>
        <v>完成考核</v>
      </c>
      <c r="I31" s="60">
        <v>44915</v>
      </c>
      <c r="J31" s="35">
        <f t="shared" si="3"/>
        <v>10</v>
      </c>
      <c r="K31" s="61">
        <v>45223</v>
      </c>
      <c r="L31" s="58">
        <f t="shared" si="29"/>
        <v>18</v>
      </c>
      <c r="M31" s="58">
        <f t="shared" si="30"/>
        <v>8</v>
      </c>
      <c r="N31" s="61">
        <v>45469</v>
      </c>
      <c r="O31" s="58" t="str">
        <f t="shared" si="4"/>
        <v>未完成</v>
      </c>
      <c r="P31" s="58" t="str">
        <f t="shared" si="31"/>
        <v>未完成</v>
      </c>
      <c r="Q31" s="35"/>
      <c r="R31" s="35"/>
      <c r="S31" s="35">
        <f t="shared" si="5"/>
        <v>7</v>
      </c>
      <c r="T31" s="60">
        <v>45132</v>
      </c>
      <c r="U31" s="35">
        <f t="shared" si="6"/>
        <v>22</v>
      </c>
      <c r="V31" s="61">
        <v>45602</v>
      </c>
      <c r="W31" s="35" t="str">
        <f t="shared" si="7"/>
        <v>未完成</v>
      </c>
      <c r="X31" s="61"/>
      <c r="Y31" s="62">
        <f ca="1" t="shared" si="8"/>
        <v>327</v>
      </c>
      <c r="Z31" s="58" t="s">
        <v>75</v>
      </c>
      <c r="AA31" s="35">
        <f t="shared" si="9"/>
        <v>5</v>
      </c>
      <c r="AB31" s="35" t="s">
        <v>75</v>
      </c>
      <c r="AC31" s="35">
        <f t="shared" si="10"/>
        <v>10</v>
      </c>
      <c r="AD31" s="35" t="s">
        <v>75</v>
      </c>
      <c r="AE31" s="35">
        <f t="shared" si="11"/>
        <v>5</v>
      </c>
      <c r="AF31" s="63">
        <f t="shared" si="12"/>
        <v>20</v>
      </c>
      <c r="AG31" s="64">
        <f ca="1" t="shared" si="13"/>
        <v>18</v>
      </c>
      <c r="AH31" s="35">
        <f ca="1" t="shared" si="14"/>
        <v>54</v>
      </c>
      <c r="AI31" s="64">
        <f ca="1" t="shared" si="15"/>
        <v>0</v>
      </c>
      <c r="AJ31" s="35">
        <f ca="1" t="shared" si="16"/>
        <v>0</v>
      </c>
      <c r="AK31" s="35">
        <f t="shared" si="17"/>
        <v>10</v>
      </c>
      <c r="AL31" s="64">
        <f ca="1" t="shared" si="18"/>
        <v>29</v>
      </c>
      <c r="AM31" s="35">
        <f ca="1" t="shared" si="19"/>
        <v>174</v>
      </c>
      <c r="AN31" s="35">
        <f t="shared" si="20"/>
        <v>10</v>
      </c>
      <c r="AO31" s="64">
        <f ca="1" t="shared" si="21"/>
        <v>14</v>
      </c>
      <c r="AP31" s="35">
        <f ca="1" t="shared" si="22"/>
        <v>84</v>
      </c>
      <c r="AQ31" s="35">
        <f t="shared" si="23"/>
        <v>0</v>
      </c>
      <c r="AR31" s="64">
        <f ca="1" t="shared" si="24"/>
        <v>0</v>
      </c>
      <c r="AS31" s="35">
        <f ca="1" t="shared" si="25"/>
        <v>0</v>
      </c>
      <c r="AT31" s="65">
        <f>VLOOKUP(B31,经历时间!A:B,2,FALSE)</f>
        <v>2040.45</v>
      </c>
      <c r="AU31" s="67">
        <f t="shared" si="26"/>
        <v>0</v>
      </c>
      <c r="AV31" s="35">
        <f ca="1" t="shared" ref="AV31:AV94" si="32">IF(I31&gt;0,DATEDIF(I31,TODAY(),"m"),0)</f>
        <v>36</v>
      </c>
      <c r="AW31" s="24">
        <v>0</v>
      </c>
      <c r="AX31" s="35">
        <v>-5</v>
      </c>
      <c r="AY31" s="24">
        <f ca="1">IFERROR(VLOOKUP(B31,'兼职+帮忙'!B:AF,28,FALSE),0)</f>
        <v>0</v>
      </c>
      <c r="AZ31" s="35"/>
    </row>
    <row r="32" s="43" customFormat="1" ht="15.6" customHeight="1" spans="1:52">
      <c r="A32" s="35">
        <v>265822</v>
      </c>
      <c r="B32" s="35" t="s">
        <v>112</v>
      </c>
      <c r="C32" s="35" t="str">
        <f>VLOOKUP(B32,'姓名+分部'!A:B,2,FALSE)</f>
        <v>二分部</v>
      </c>
      <c r="D32" s="57" t="s">
        <v>48</v>
      </c>
      <c r="E32" s="58">
        <f ca="1" t="shared" si="28"/>
        <v>27</v>
      </c>
      <c r="F32" s="35" t="str">
        <f ca="1" t="shared" si="0"/>
        <v>继续培训</v>
      </c>
      <c r="G32" s="35" t="str">
        <f t="shared" si="1"/>
        <v>不考核</v>
      </c>
      <c r="H32" s="59" t="str">
        <f t="shared" si="2"/>
        <v>完成考核</v>
      </c>
      <c r="I32" s="60">
        <v>44385</v>
      </c>
      <c r="J32" s="35">
        <f t="shared" si="3"/>
        <v>5</v>
      </c>
      <c r="K32" s="61">
        <v>44564</v>
      </c>
      <c r="L32" s="58">
        <f t="shared" si="29"/>
        <v>39</v>
      </c>
      <c r="M32" s="58">
        <f t="shared" si="30"/>
        <v>33</v>
      </c>
      <c r="N32" s="61">
        <v>45587</v>
      </c>
      <c r="O32" s="58">
        <f t="shared" si="4"/>
        <v>51</v>
      </c>
      <c r="P32" s="58">
        <f t="shared" si="31"/>
        <v>12</v>
      </c>
      <c r="Q32" s="61">
        <v>45959</v>
      </c>
      <c r="R32" s="58"/>
      <c r="S32" s="35">
        <f t="shared" si="5"/>
        <v>30</v>
      </c>
      <c r="T32" s="60">
        <v>45320</v>
      </c>
      <c r="U32" s="35">
        <f t="shared" si="6"/>
        <v>35</v>
      </c>
      <c r="V32" s="61">
        <v>45475</v>
      </c>
      <c r="W32" s="35" t="str">
        <f t="shared" si="7"/>
        <v>未完成</v>
      </c>
      <c r="X32" s="61"/>
      <c r="Y32" s="62">
        <f ca="1" t="shared" si="8"/>
        <v>630.631</v>
      </c>
      <c r="Z32" s="58" t="s">
        <v>75</v>
      </c>
      <c r="AA32" s="35">
        <f t="shared" si="9"/>
        <v>5</v>
      </c>
      <c r="AB32" s="35" t="s">
        <v>75</v>
      </c>
      <c r="AC32" s="35">
        <f t="shared" si="10"/>
        <v>10</v>
      </c>
      <c r="AD32" s="35" t="s">
        <v>75</v>
      </c>
      <c r="AE32" s="35">
        <f t="shared" si="11"/>
        <v>5</v>
      </c>
      <c r="AF32" s="63">
        <f t="shared" si="12"/>
        <v>30</v>
      </c>
      <c r="AG32" s="64">
        <f ca="1" t="shared" si="13"/>
        <v>14</v>
      </c>
      <c r="AH32" s="35">
        <f ca="1" t="shared" si="14"/>
        <v>42</v>
      </c>
      <c r="AI32" s="64">
        <f ca="1" t="shared" si="15"/>
        <v>2</v>
      </c>
      <c r="AJ32" s="35">
        <f ca="1" t="shared" si="16"/>
        <v>12</v>
      </c>
      <c r="AK32" s="35">
        <f t="shared" si="17"/>
        <v>10</v>
      </c>
      <c r="AL32" s="64">
        <f ca="1" t="shared" si="18"/>
        <v>23</v>
      </c>
      <c r="AM32" s="35">
        <f ca="1" t="shared" si="19"/>
        <v>138</v>
      </c>
      <c r="AN32" s="35">
        <f t="shared" si="20"/>
        <v>10</v>
      </c>
      <c r="AO32" s="64">
        <f ca="1" t="shared" si="21"/>
        <v>18</v>
      </c>
      <c r="AP32" s="35">
        <f ca="1" t="shared" si="22"/>
        <v>108</v>
      </c>
      <c r="AQ32" s="35">
        <f t="shared" si="23"/>
        <v>0</v>
      </c>
      <c r="AR32" s="64">
        <f ca="1" t="shared" si="24"/>
        <v>0</v>
      </c>
      <c r="AS32" s="35">
        <f ca="1" t="shared" si="25"/>
        <v>0</v>
      </c>
      <c r="AT32" s="65">
        <f>VLOOKUP(B32,经历时间!A:B,2,FALSE)</f>
        <v>1436.31</v>
      </c>
      <c r="AU32" s="67">
        <f t="shared" si="26"/>
        <v>143.631</v>
      </c>
      <c r="AV32" s="35">
        <f ca="1" t="shared" si="32"/>
        <v>54</v>
      </c>
      <c r="AW32" s="24">
        <v>6</v>
      </c>
      <c r="AX32" s="35"/>
      <c r="AY32" s="24">
        <f ca="1">IFERROR(VLOOKUP(B32,'兼职+帮忙'!B:AF,28,FALSE),0)</f>
        <v>161</v>
      </c>
      <c r="AZ32" s="35"/>
    </row>
    <row r="33" s="43" customFormat="1" ht="15.6" customHeight="1" spans="1:52">
      <c r="A33" s="35">
        <v>258455</v>
      </c>
      <c r="B33" s="35" t="s">
        <v>113</v>
      </c>
      <c r="C33" s="35" t="str">
        <f>VLOOKUP(B33,'姓名+分部'!A:B,2,FALSE)</f>
        <v>三分部</v>
      </c>
      <c r="D33" s="57" t="s">
        <v>45</v>
      </c>
      <c r="E33" s="58" t="str">
        <f ca="1" t="shared" si="28"/>
        <v>无排名</v>
      </c>
      <c r="F33" s="35" t="str">
        <f ca="1" t="shared" si="0"/>
        <v>继续培训</v>
      </c>
      <c r="G33" s="35" t="str">
        <f t="shared" si="1"/>
        <v>不考核</v>
      </c>
      <c r="H33" s="59" t="str">
        <f t="shared" si="2"/>
        <v>完成考核</v>
      </c>
      <c r="I33" s="69">
        <v>44016</v>
      </c>
      <c r="J33" s="35">
        <f t="shared" si="3"/>
        <v>2</v>
      </c>
      <c r="K33" s="59">
        <v>44101</v>
      </c>
      <c r="L33" s="58">
        <f t="shared" si="29"/>
        <v>25</v>
      </c>
      <c r="M33" s="58">
        <f t="shared" si="30"/>
        <v>22</v>
      </c>
      <c r="N33" s="59">
        <v>44793</v>
      </c>
      <c r="O33" s="58" t="str">
        <f t="shared" si="4"/>
        <v>未完成</v>
      </c>
      <c r="P33" s="58" t="str">
        <f t="shared" si="31"/>
        <v>未完成</v>
      </c>
      <c r="Q33" s="35"/>
      <c r="R33" s="35"/>
      <c r="S33" s="35" t="str">
        <f t="shared" si="5"/>
        <v>未完成</v>
      </c>
      <c r="T33" s="60"/>
      <c r="U33" s="35">
        <f t="shared" si="6"/>
        <v>39</v>
      </c>
      <c r="V33" s="59">
        <v>45207</v>
      </c>
      <c r="W33" s="35" t="str">
        <f t="shared" si="7"/>
        <v>未完成</v>
      </c>
      <c r="X33" s="61"/>
      <c r="Y33" s="62">
        <f ca="1" t="shared" si="8"/>
        <v>319</v>
      </c>
      <c r="Z33" s="58" t="s">
        <v>75</v>
      </c>
      <c r="AA33" s="35">
        <f t="shared" si="9"/>
        <v>5</v>
      </c>
      <c r="AB33" s="58" t="s">
        <v>75</v>
      </c>
      <c r="AC33" s="35">
        <f t="shared" si="10"/>
        <v>10</v>
      </c>
      <c r="AD33" s="58" t="s">
        <v>75</v>
      </c>
      <c r="AE33" s="35">
        <f t="shared" si="11"/>
        <v>5</v>
      </c>
      <c r="AF33" s="63">
        <f t="shared" si="12"/>
        <v>20</v>
      </c>
      <c r="AG33" s="64">
        <f ca="1" t="shared" si="13"/>
        <v>40</v>
      </c>
      <c r="AH33" s="35">
        <f ca="1" t="shared" si="14"/>
        <v>120</v>
      </c>
      <c r="AI33" s="64">
        <f ca="1" t="shared" si="15"/>
        <v>0</v>
      </c>
      <c r="AJ33" s="35">
        <f ca="1" t="shared" si="16"/>
        <v>0</v>
      </c>
      <c r="AK33" s="35">
        <f t="shared" si="17"/>
        <v>0</v>
      </c>
      <c r="AL33" s="64">
        <f ca="1" t="shared" si="18"/>
        <v>0</v>
      </c>
      <c r="AM33" s="35">
        <f ca="1" t="shared" si="19"/>
        <v>0</v>
      </c>
      <c r="AN33" s="35">
        <f t="shared" si="20"/>
        <v>10</v>
      </c>
      <c r="AO33" s="64">
        <f ca="1" t="shared" si="21"/>
        <v>27</v>
      </c>
      <c r="AP33" s="35">
        <f ca="1" t="shared" si="22"/>
        <v>162</v>
      </c>
      <c r="AQ33" s="35">
        <f t="shared" si="23"/>
        <v>0</v>
      </c>
      <c r="AR33" s="64">
        <f ca="1" t="shared" si="24"/>
        <v>0</v>
      </c>
      <c r="AS33" s="35">
        <f ca="1" t="shared" si="25"/>
        <v>0</v>
      </c>
      <c r="AT33" s="65">
        <f>VLOOKUP(B33,经历时间!A:B,2,FALSE)</f>
        <v>1885.18</v>
      </c>
      <c r="AU33" s="67">
        <f t="shared" si="26"/>
        <v>0</v>
      </c>
      <c r="AV33" s="35">
        <f ca="1" t="shared" si="32"/>
        <v>66</v>
      </c>
      <c r="AW33" s="24">
        <v>12</v>
      </c>
      <c r="AX33" s="35"/>
      <c r="AY33" s="24">
        <f ca="1">IFERROR(VLOOKUP(B33,'兼职+帮忙'!B:AF,28,FALSE),0)</f>
        <v>5</v>
      </c>
      <c r="AZ33" s="35"/>
    </row>
    <row r="34" s="43" customFormat="1" ht="15.6" customHeight="1" spans="1:52">
      <c r="A34" s="35">
        <v>249564</v>
      </c>
      <c r="B34" s="35" t="s">
        <v>114</v>
      </c>
      <c r="C34" s="35" t="str">
        <f>VLOOKUP(B34,'姓名+分部'!A:B,2,FALSE)</f>
        <v>三分部</v>
      </c>
      <c r="D34" s="57" t="s">
        <v>42</v>
      </c>
      <c r="E34" s="58" t="str">
        <f ca="1" t="shared" si="28"/>
        <v>无排名</v>
      </c>
      <c r="F34" s="35" t="str">
        <f ca="1" t="shared" si="0"/>
        <v>继续培训</v>
      </c>
      <c r="G34" s="35" t="str">
        <f t="shared" si="1"/>
        <v>B</v>
      </c>
      <c r="H34" s="59">
        <f t="shared" si="2"/>
        <v>44569</v>
      </c>
      <c r="I34" s="60">
        <v>44010</v>
      </c>
      <c r="J34" s="35">
        <f t="shared" si="3"/>
        <v>5</v>
      </c>
      <c r="K34" s="61">
        <v>44179</v>
      </c>
      <c r="L34" s="58" t="str">
        <f t="shared" si="29"/>
        <v>未完成</v>
      </c>
      <c r="M34" s="58" t="str">
        <f t="shared" si="30"/>
        <v>未完成</v>
      </c>
      <c r="N34" s="61"/>
      <c r="O34" s="58" t="str">
        <f t="shared" si="4"/>
        <v>未完成</v>
      </c>
      <c r="P34" s="58" t="str">
        <f t="shared" si="31"/>
        <v>未完成</v>
      </c>
      <c r="Q34" s="24"/>
      <c r="R34" s="24"/>
      <c r="S34" s="35">
        <f t="shared" si="5"/>
        <v>28</v>
      </c>
      <c r="T34" s="60">
        <v>44872</v>
      </c>
      <c r="U34" s="35">
        <f t="shared" si="6"/>
        <v>57</v>
      </c>
      <c r="V34" s="61">
        <v>45757</v>
      </c>
      <c r="W34" s="35" t="str">
        <f t="shared" si="7"/>
        <v>未完成</v>
      </c>
      <c r="X34" s="61"/>
      <c r="Y34" s="62">
        <f ca="1" t="shared" si="8"/>
        <v>302.7</v>
      </c>
      <c r="Z34" s="71" t="s">
        <v>115</v>
      </c>
      <c r="AA34" s="35">
        <f t="shared" si="9"/>
        <v>0</v>
      </c>
      <c r="AB34" s="35" t="s">
        <v>75</v>
      </c>
      <c r="AC34" s="35">
        <f t="shared" si="10"/>
        <v>10</v>
      </c>
      <c r="AD34" s="35" t="s">
        <v>75</v>
      </c>
      <c r="AE34" s="35">
        <f t="shared" si="11"/>
        <v>5</v>
      </c>
      <c r="AF34" s="63">
        <f t="shared" si="12"/>
        <v>10</v>
      </c>
      <c r="AG34" s="64">
        <f ca="1" t="shared" si="13"/>
        <v>0</v>
      </c>
      <c r="AH34" s="35">
        <f ca="1" t="shared" si="14"/>
        <v>0</v>
      </c>
      <c r="AI34" s="64">
        <f ca="1" t="shared" si="15"/>
        <v>0</v>
      </c>
      <c r="AJ34" s="35">
        <f ca="1" t="shared" si="16"/>
        <v>0</v>
      </c>
      <c r="AK34" s="35">
        <f t="shared" si="17"/>
        <v>10</v>
      </c>
      <c r="AL34" s="64">
        <f ca="1" t="shared" si="18"/>
        <v>38</v>
      </c>
      <c r="AM34" s="35">
        <f ca="1" t="shared" si="19"/>
        <v>228</v>
      </c>
      <c r="AN34" s="35">
        <f t="shared" si="20"/>
        <v>10</v>
      </c>
      <c r="AO34" s="64">
        <f ca="1" t="shared" si="21"/>
        <v>9</v>
      </c>
      <c r="AP34" s="35">
        <f ca="1" t="shared" si="22"/>
        <v>54</v>
      </c>
      <c r="AQ34" s="35">
        <f t="shared" si="23"/>
        <v>0</v>
      </c>
      <c r="AR34" s="64">
        <f ca="1" t="shared" si="24"/>
        <v>0</v>
      </c>
      <c r="AS34" s="35">
        <f ca="1" t="shared" si="25"/>
        <v>0</v>
      </c>
      <c r="AT34" s="65">
        <f>VLOOKUP(B34,经历时间!A:B,2,FALSE)</f>
        <v>2321.16</v>
      </c>
      <c r="AU34" s="67">
        <f t="shared" si="26"/>
        <v>0</v>
      </c>
      <c r="AV34" s="35">
        <f ca="1" t="shared" si="32"/>
        <v>66</v>
      </c>
      <c r="AW34" s="24">
        <v>10.7</v>
      </c>
      <c r="AX34" s="35">
        <v>-5</v>
      </c>
      <c r="AY34" s="24">
        <f ca="1">IFERROR(VLOOKUP(B34,'兼职+帮忙'!B:AF,28,FALSE),0)</f>
        <v>0</v>
      </c>
      <c r="AZ34" s="35"/>
    </row>
    <row r="35" s="43" customFormat="1" ht="15.6" customHeight="1" spans="1:52">
      <c r="A35" s="35">
        <v>265803</v>
      </c>
      <c r="B35" s="35" t="s">
        <v>116</v>
      </c>
      <c r="C35" s="35" t="str">
        <f>VLOOKUP(B35,'姓名+分部'!A:B,2,FALSE)</f>
        <v>三分部</v>
      </c>
      <c r="D35" s="57" t="s">
        <v>45</v>
      </c>
      <c r="E35" s="58" t="str">
        <f ca="1" t="shared" si="28"/>
        <v>无排名</v>
      </c>
      <c r="F35" s="35" t="str">
        <f ca="1" t="shared" si="0"/>
        <v>继续培训</v>
      </c>
      <c r="G35" s="35" t="str">
        <f t="shared" si="1"/>
        <v>不考核</v>
      </c>
      <c r="H35" s="59" t="str">
        <f t="shared" si="2"/>
        <v>完成考核</v>
      </c>
      <c r="I35" s="60">
        <v>44586</v>
      </c>
      <c r="J35" s="35">
        <f t="shared" si="3"/>
        <v>13</v>
      </c>
      <c r="K35" s="61">
        <v>44994</v>
      </c>
      <c r="L35" s="58">
        <f t="shared" si="29"/>
        <v>36</v>
      </c>
      <c r="M35" s="58">
        <f t="shared" si="30"/>
        <v>23</v>
      </c>
      <c r="N35" s="61">
        <v>45707</v>
      </c>
      <c r="O35" s="58" t="str">
        <f t="shared" si="4"/>
        <v>未完成</v>
      </c>
      <c r="P35" s="58" t="str">
        <f t="shared" si="31"/>
        <v>未完成</v>
      </c>
      <c r="Q35" s="58"/>
      <c r="R35" s="58"/>
      <c r="S35" s="35">
        <f t="shared" si="5"/>
        <v>23</v>
      </c>
      <c r="T35" s="60">
        <v>45288</v>
      </c>
      <c r="U35" s="35">
        <f t="shared" si="6"/>
        <v>28</v>
      </c>
      <c r="V35" s="61">
        <v>45441</v>
      </c>
      <c r="W35" s="35" t="str">
        <f t="shared" si="7"/>
        <v>未完成</v>
      </c>
      <c r="X35" s="61"/>
      <c r="Y35" s="62">
        <f ca="1" t="shared" si="8"/>
        <v>309</v>
      </c>
      <c r="Z35" s="58" t="s">
        <v>75</v>
      </c>
      <c r="AA35" s="35">
        <f t="shared" si="9"/>
        <v>5</v>
      </c>
      <c r="AB35" s="35" t="s">
        <v>75</v>
      </c>
      <c r="AC35" s="35">
        <f t="shared" si="10"/>
        <v>10</v>
      </c>
      <c r="AD35" s="35" t="s">
        <v>75</v>
      </c>
      <c r="AE35" s="35">
        <f t="shared" si="11"/>
        <v>5</v>
      </c>
      <c r="AF35" s="63">
        <f t="shared" si="12"/>
        <v>20</v>
      </c>
      <c r="AG35" s="64">
        <f ca="1" t="shared" si="13"/>
        <v>10</v>
      </c>
      <c r="AH35" s="35">
        <f ca="1" t="shared" si="14"/>
        <v>30</v>
      </c>
      <c r="AI35" s="64">
        <f ca="1" t="shared" si="15"/>
        <v>0</v>
      </c>
      <c r="AJ35" s="35">
        <f ca="1" t="shared" si="16"/>
        <v>0</v>
      </c>
      <c r="AK35" s="35">
        <f t="shared" si="17"/>
        <v>10</v>
      </c>
      <c r="AL35" s="64">
        <f ca="1" t="shared" si="18"/>
        <v>24</v>
      </c>
      <c r="AM35" s="35">
        <f ca="1" t="shared" si="19"/>
        <v>144</v>
      </c>
      <c r="AN35" s="35">
        <f t="shared" si="20"/>
        <v>10</v>
      </c>
      <c r="AO35" s="64">
        <f ca="1" t="shared" si="21"/>
        <v>19</v>
      </c>
      <c r="AP35" s="35">
        <f ca="1" t="shared" si="22"/>
        <v>114</v>
      </c>
      <c r="AQ35" s="35">
        <f t="shared" si="23"/>
        <v>0</v>
      </c>
      <c r="AR35" s="64">
        <f ca="1" t="shared" si="24"/>
        <v>0</v>
      </c>
      <c r="AS35" s="35">
        <f ca="1" t="shared" si="25"/>
        <v>0</v>
      </c>
      <c r="AT35" s="65">
        <f>VLOOKUP(B35,经历时间!A:B,2,FALSE)</f>
        <v>2047.48</v>
      </c>
      <c r="AU35" s="67">
        <f t="shared" si="26"/>
        <v>0</v>
      </c>
      <c r="AV35" s="35">
        <f ca="1" t="shared" si="32"/>
        <v>47</v>
      </c>
      <c r="AW35" s="24">
        <v>1</v>
      </c>
      <c r="AX35" s="35"/>
      <c r="AY35" s="24">
        <f ca="1">IFERROR(VLOOKUP(B35,'兼职+帮忙'!B:AF,28,FALSE),0)</f>
        <v>0</v>
      </c>
      <c r="AZ35" s="35"/>
    </row>
    <row r="36" s="43" customFormat="1" ht="15.6" customHeight="1" spans="1:52">
      <c r="A36" s="35">
        <v>261757</v>
      </c>
      <c r="B36" s="35" t="s">
        <v>117</v>
      </c>
      <c r="C36" s="35" t="str">
        <f>VLOOKUP(B36,'姓名+分部'!A:B,2,FALSE)</f>
        <v>三分部</v>
      </c>
      <c r="D36" s="57" t="s">
        <v>45</v>
      </c>
      <c r="E36" s="58" t="str">
        <f ca="1" t="shared" si="28"/>
        <v>无排名</v>
      </c>
      <c r="F36" s="35" t="str">
        <f ca="1" t="shared" si="0"/>
        <v>继续培训</v>
      </c>
      <c r="G36" s="35" t="str">
        <f t="shared" si="1"/>
        <v>不考核</v>
      </c>
      <c r="H36" s="59" t="str">
        <f t="shared" si="2"/>
        <v>完成考核</v>
      </c>
      <c r="I36" s="60">
        <v>43987</v>
      </c>
      <c r="J36" s="35">
        <f t="shared" si="3"/>
        <v>10</v>
      </c>
      <c r="K36" s="61">
        <v>44307</v>
      </c>
      <c r="L36" s="58">
        <f t="shared" si="29"/>
        <v>49</v>
      </c>
      <c r="M36" s="58">
        <f t="shared" si="30"/>
        <v>39</v>
      </c>
      <c r="N36" s="61">
        <v>45500</v>
      </c>
      <c r="O36" s="58" t="str">
        <f t="shared" si="4"/>
        <v>未完成</v>
      </c>
      <c r="P36" s="58" t="str">
        <f t="shared" si="31"/>
        <v>未完成</v>
      </c>
      <c r="Q36" s="59"/>
      <c r="R36" s="59"/>
      <c r="S36" s="35">
        <f t="shared" si="5"/>
        <v>33</v>
      </c>
      <c r="T36" s="60">
        <v>45009</v>
      </c>
      <c r="U36" s="35" t="str">
        <f t="shared" si="6"/>
        <v>未完成</v>
      </c>
      <c r="V36" s="61"/>
      <c r="W36" s="35">
        <f t="shared" si="7"/>
        <v>54</v>
      </c>
      <c r="X36" s="61">
        <v>45660</v>
      </c>
      <c r="Y36" s="62">
        <f ca="1" t="shared" si="8"/>
        <v>336.2</v>
      </c>
      <c r="Z36" s="35" t="s">
        <v>75</v>
      </c>
      <c r="AA36" s="35">
        <f t="shared" si="9"/>
        <v>5</v>
      </c>
      <c r="AB36" s="35" t="s">
        <v>75</v>
      </c>
      <c r="AC36" s="35">
        <f t="shared" si="10"/>
        <v>10</v>
      </c>
      <c r="AD36" s="35" t="s">
        <v>75</v>
      </c>
      <c r="AE36" s="35">
        <f t="shared" si="11"/>
        <v>5</v>
      </c>
      <c r="AF36" s="63">
        <f t="shared" si="12"/>
        <v>20</v>
      </c>
      <c r="AG36" s="64">
        <f ca="1" t="shared" si="13"/>
        <v>17</v>
      </c>
      <c r="AH36" s="35">
        <f ca="1" t="shared" si="14"/>
        <v>51</v>
      </c>
      <c r="AI36" s="64">
        <f ca="1" t="shared" si="15"/>
        <v>0</v>
      </c>
      <c r="AJ36" s="35">
        <f ca="1" t="shared" si="16"/>
        <v>0</v>
      </c>
      <c r="AK36" s="35">
        <f t="shared" si="17"/>
        <v>10</v>
      </c>
      <c r="AL36" s="64">
        <f ca="1" t="shared" si="18"/>
        <v>33</v>
      </c>
      <c r="AM36" s="35">
        <f ca="1" t="shared" si="19"/>
        <v>198</v>
      </c>
      <c r="AN36" s="35">
        <f t="shared" si="20"/>
        <v>0</v>
      </c>
      <c r="AO36" s="64">
        <f ca="1" t="shared" si="21"/>
        <v>0</v>
      </c>
      <c r="AP36" s="35">
        <f ca="1" t="shared" si="22"/>
        <v>0</v>
      </c>
      <c r="AQ36" s="35">
        <f t="shared" si="23"/>
        <v>10</v>
      </c>
      <c r="AR36" s="64">
        <f ca="1" t="shared" si="24"/>
        <v>12</v>
      </c>
      <c r="AS36" s="35">
        <f ca="1" t="shared" si="25"/>
        <v>72</v>
      </c>
      <c r="AT36" s="65">
        <f>VLOOKUP(B36,经历时间!A:B,2,FALSE)</f>
        <v>2219.41</v>
      </c>
      <c r="AU36" s="67">
        <f t="shared" si="26"/>
        <v>0</v>
      </c>
      <c r="AV36" s="35">
        <f ca="1" t="shared" si="32"/>
        <v>67</v>
      </c>
      <c r="AW36" s="24">
        <v>-4.8</v>
      </c>
      <c r="AX36" s="35"/>
      <c r="AY36" s="24">
        <f ca="1">IFERROR(VLOOKUP(B36,'兼职+帮忙'!B:AF,28,FALSE),0)</f>
        <v>0</v>
      </c>
      <c r="AZ36" s="35"/>
    </row>
    <row r="37" s="43" customFormat="1" ht="15.6" customHeight="1" spans="1:52">
      <c r="A37" s="35">
        <v>259796</v>
      </c>
      <c r="B37" s="35" t="s">
        <v>118</v>
      </c>
      <c r="C37" s="35" t="str">
        <f>VLOOKUP(B37,'姓名+分部'!A:B,2,FALSE)</f>
        <v>二分部</v>
      </c>
      <c r="D37" s="57" t="s">
        <v>45</v>
      </c>
      <c r="E37" s="58" t="str">
        <f ca="1" t="shared" si="28"/>
        <v>无排名</v>
      </c>
      <c r="F37" s="35" t="str">
        <f ca="1" t="shared" si="0"/>
        <v>继续培训</v>
      </c>
      <c r="G37" s="35" t="str">
        <f t="shared" si="1"/>
        <v>不考核</v>
      </c>
      <c r="H37" s="59" t="str">
        <f t="shared" si="2"/>
        <v>完成考核</v>
      </c>
      <c r="I37" s="60">
        <v>44315</v>
      </c>
      <c r="J37" s="35">
        <f t="shared" si="3"/>
        <v>18</v>
      </c>
      <c r="K37" s="61">
        <v>44867</v>
      </c>
      <c r="L37" s="58">
        <f t="shared" si="29"/>
        <v>47</v>
      </c>
      <c r="M37" s="58">
        <f t="shared" si="30"/>
        <v>29</v>
      </c>
      <c r="N37" s="61">
        <v>45774</v>
      </c>
      <c r="O37" s="58" t="str">
        <f t="shared" si="4"/>
        <v>未完成</v>
      </c>
      <c r="P37" s="58" t="str">
        <f t="shared" si="31"/>
        <v>未完成</v>
      </c>
      <c r="Q37" s="58"/>
      <c r="R37" s="58"/>
      <c r="S37" s="35">
        <f t="shared" si="5"/>
        <v>28</v>
      </c>
      <c r="T37" s="60">
        <v>45180</v>
      </c>
      <c r="U37" s="35" t="str">
        <f t="shared" si="6"/>
        <v>未完成</v>
      </c>
      <c r="V37" s="61"/>
      <c r="W37" s="35">
        <f t="shared" si="7"/>
        <v>43</v>
      </c>
      <c r="X37" s="61">
        <v>45645</v>
      </c>
      <c r="Y37" s="62">
        <f ca="1" t="shared" si="8"/>
        <v>279</v>
      </c>
      <c r="Z37" s="58" t="s">
        <v>75</v>
      </c>
      <c r="AA37" s="35">
        <f t="shared" si="9"/>
        <v>5</v>
      </c>
      <c r="AB37" s="35" t="s">
        <v>75</v>
      </c>
      <c r="AC37" s="35">
        <f t="shared" si="10"/>
        <v>10</v>
      </c>
      <c r="AD37" s="35" t="s">
        <v>75</v>
      </c>
      <c r="AE37" s="35">
        <f t="shared" si="11"/>
        <v>5</v>
      </c>
      <c r="AF37" s="63">
        <f t="shared" si="12"/>
        <v>20</v>
      </c>
      <c r="AG37" s="64">
        <f ca="1" t="shared" si="13"/>
        <v>8</v>
      </c>
      <c r="AH37" s="35">
        <f ca="1" t="shared" si="14"/>
        <v>24</v>
      </c>
      <c r="AI37" s="64">
        <f ca="1" t="shared" si="15"/>
        <v>0</v>
      </c>
      <c r="AJ37" s="35">
        <f ca="1" t="shared" si="16"/>
        <v>0</v>
      </c>
      <c r="AK37" s="35">
        <f t="shared" si="17"/>
        <v>10</v>
      </c>
      <c r="AL37" s="64">
        <f ca="1" t="shared" si="18"/>
        <v>28</v>
      </c>
      <c r="AM37" s="35">
        <f ca="1" t="shared" si="19"/>
        <v>168</v>
      </c>
      <c r="AN37" s="35">
        <f t="shared" si="20"/>
        <v>0</v>
      </c>
      <c r="AO37" s="64">
        <f ca="1" t="shared" si="21"/>
        <v>0</v>
      </c>
      <c r="AP37" s="35">
        <f ca="1" t="shared" si="22"/>
        <v>0</v>
      </c>
      <c r="AQ37" s="35">
        <f t="shared" si="23"/>
        <v>10</v>
      </c>
      <c r="AR37" s="64">
        <f ca="1" t="shared" si="24"/>
        <v>12</v>
      </c>
      <c r="AS37" s="35">
        <f ca="1" t="shared" si="25"/>
        <v>72</v>
      </c>
      <c r="AT37" s="65">
        <f>VLOOKUP(B37,经历时间!A:B,2,FALSE)</f>
        <v>1607.42</v>
      </c>
      <c r="AU37" s="67">
        <f t="shared" si="26"/>
        <v>0</v>
      </c>
      <c r="AV37" s="35">
        <f ca="1" t="shared" si="32"/>
        <v>56</v>
      </c>
      <c r="AW37" s="24">
        <v>0</v>
      </c>
      <c r="AX37" s="35">
        <v>-5</v>
      </c>
      <c r="AY37" s="24">
        <f ca="1">IFERROR(VLOOKUP(B37,'兼职+帮忙'!B:AF,28,FALSE),0)</f>
        <v>0</v>
      </c>
      <c r="AZ37" s="35"/>
    </row>
    <row r="38" s="43" customFormat="1" ht="15.6" customHeight="1" spans="1:52">
      <c r="A38" s="35">
        <v>253781</v>
      </c>
      <c r="B38" s="35" t="s">
        <v>119</v>
      </c>
      <c r="C38" s="35" t="str">
        <f>VLOOKUP(B38,'姓名+分部'!A:B,2,FALSE)</f>
        <v>一分部</v>
      </c>
      <c r="D38" s="57" t="s">
        <v>45</v>
      </c>
      <c r="E38" s="58" t="str">
        <f ca="1" t="shared" si="28"/>
        <v>无排名</v>
      </c>
      <c r="F38" s="35" t="str">
        <f ca="1" t="shared" si="0"/>
        <v>继续培训</v>
      </c>
      <c r="G38" s="35" t="str">
        <f t="shared" si="1"/>
        <v>不考核</v>
      </c>
      <c r="H38" s="59" t="str">
        <f t="shared" si="2"/>
        <v>完成考核</v>
      </c>
      <c r="I38" s="60">
        <v>43885</v>
      </c>
      <c r="J38" s="35">
        <f t="shared" si="3"/>
        <v>11</v>
      </c>
      <c r="K38" s="61">
        <v>44234</v>
      </c>
      <c r="L38" s="58">
        <f t="shared" si="29"/>
        <v>57</v>
      </c>
      <c r="M38" s="58">
        <f t="shared" si="30"/>
        <v>46</v>
      </c>
      <c r="N38" s="61">
        <v>45635</v>
      </c>
      <c r="O38" s="58" t="str">
        <f t="shared" si="4"/>
        <v>未完成</v>
      </c>
      <c r="P38" s="58" t="str">
        <f t="shared" si="31"/>
        <v>未完成</v>
      </c>
      <c r="Q38" s="61"/>
      <c r="R38" s="61"/>
      <c r="S38" s="35">
        <f t="shared" si="5"/>
        <v>39</v>
      </c>
      <c r="T38" s="60">
        <v>45096</v>
      </c>
      <c r="U38" s="35" t="str">
        <f t="shared" si="6"/>
        <v>未完成</v>
      </c>
      <c r="V38" s="61"/>
      <c r="W38" s="35" t="str">
        <f t="shared" si="7"/>
        <v>未完成</v>
      </c>
      <c r="X38" s="61"/>
      <c r="Y38" s="62">
        <f ca="1" t="shared" si="8"/>
        <v>243</v>
      </c>
      <c r="Z38" s="58" t="s">
        <v>75</v>
      </c>
      <c r="AA38" s="35">
        <f t="shared" si="9"/>
        <v>5</v>
      </c>
      <c r="AB38" s="35" t="s">
        <v>75</v>
      </c>
      <c r="AC38" s="35">
        <f t="shared" si="10"/>
        <v>10</v>
      </c>
      <c r="AD38" s="35" t="s">
        <v>75</v>
      </c>
      <c r="AE38" s="35">
        <f t="shared" si="11"/>
        <v>5</v>
      </c>
      <c r="AF38" s="63">
        <f t="shared" si="12"/>
        <v>20</v>
      </c>
      <c r="AG38" s="64">
        <f ca="1" t="shared" si="13"/>
        <v>13</v>
      </c>
      <c r="AH38" s="35">
        <f ca="1" t="shared" si="14"/>
        <v>39</v>
      </c>
      <c r="AI38" s="64">
        <f ca="1" t="shared" si="15"/>
        <v>0</v>
      </c>
      <c r="AJ38" s="35">
        <f ca="1" t="shared" si="16"/>
        <v>0</v>
      </c>
      <c r="AK38" s="35">
        <f t="shared" si="17"/>
        <v>10</v>
      </c>
      <c r="AL38" s="64">
        <f ca="1" t="shared" si="18"/>
        <v>30</v>
      </c>
      <c r="AM38" s="35">
        <f ca="1" t="shared" si="19"/>
        <v>180</v>
      </c>
      <c r="AN38" s="35">
        <f t="shared" si="20"/>
        <v>0</v>
      </c>
      <c r="AO38" s="64">
        <f ca="1" t="shared" si="21"/>
        <v>0</v>
      </c>
      <c r="AP38" s="35">
        <f ca="1" t="shared" si="22"/>
        <v>0</v>
      </c>
      <c r="AQ38" s="35">
        <f t="shared" si="23"/>
        <v>0</v>
      </c>
      <c r="AR38" s="64">
        <f ca="1" t="shared" si="24"/>
        <v>0</v>
      </c>
      <c r="AS38" s="35">
        <f ca="1" t="shared" si="25"/>
        <v>0</v>
      </c>
      <c r="AT38" s="65">
        <f>VLOOKUP(B38,经历时间!A:B,2,FALSE)</f>
        <v>2404.41</v>
      </c>
      <c r="AU38" s="67">
        <f t="shared" si="26"/>
        <v>0</v>
      </c>
      <c r="AV38" s="35">
        <f ca="1" t="shared" si="32"/>
        <v>70</v>
      </c>
      <c r="AW38" s="24">
        <v>3</v>
      </c>
      <c r="AX38" s="35"/>
      <c r="AY38" s="24">
        <f ca="1">IFERROR(VLOOKUP(B38,'兼职+帮忙'!B:AF,28,FALSE),0)</f>
        <v>1</v>
      </c>
      <c r="AZ38" s="35"/>
    </row>
    <row r="39" s="43" customFormat="1" ht="15.6" customHeight="1" spans="1:52">
      <c r="A39" s="35">
        <v>259798</v>
      </c>
      <c r="B39" s="35" t="s">
        <v>120</v>
      </c>
      <c r="C39" s="35" t="str">
        <f>VLOOKUP(B39,'姓名+分部'!A:B,2,FALSE)</f>
        <v>一分部</v>
      </c>
      <c r="D39" s="57" t="s">
        <v>45</v>
      </c>
      <c r="E39" s="58" t="str">
        <f ca="1" t="shared" si="28"/>
        <v>无排名</v>
      </c>
      <c r="F39" s="35" t="str">
        <f ca="1" t="shared" si="0"/>
        <v>继续培训</v>
      </c>
      <c r="G39" s="35" t="str">
        <f t="shared" si="1"/>
        <v>不考核</v>
      </c>
      <c r="H39" s="59" t="str">
        <f t="shared" si="2"/>
        <v>完成考核</v>
      </c>
      <c r="I39" s="60">
        <v>44025</v>
      </c>
      <c r="J39" s="35">
        <f t="shared" si="3"/>
        <v>5</v>
      </c>
      <c r="K39" s="61">
        <v>44200</v>
      </c>
      <c r="L39" s="58">
        <f t="shared" si="29"/>
        <v>45</v>
      </c>
      <c r="M39" s="58">
        <f t="shared" si="30"/>
        <v>40</v>
      </c>
      <c r="N39" s="61">
        <v>45419</v>
      </c>
      <c r="O39" s="58" t="str">
        <f t="shared" si="4"/>
        <v>未完成</v>
      </c>
      <c r="P39" s="58" t="str">
        <f t="shared" si="31"/>
        <v>未完成</v>
      </c>
      <c r="Q39" s="58"/>
      <c r="R39" s="58"/>
      <c r="S39" s="35">
        <f t="shared" si="5"/>
        <v>36</v>
      </c>
      <c r="T39" s="60">
        <v>45140</v>
      </c>
      <c r="U39" s="35" t="str">
        <f t="shared" si="6"/>
        <v>未完成</v>
      </c>
      <c r="V39" s="61"/>
      <c r="W39" s="35">
        <f t="shared" si="7"/>
        <v>53</v>
      </c>
      <c r="X39" s="61">
        <v>45667</v>
      </c>
      <c r="Y39" s="62">
        <f ca="1" t="shared" si="8"/>
        <v>307</v>
      </c>
      <c r="Z39" s="72" t="s">
        <v>115</v>
      </c>
      <c r="AA39" s="35">
        <f t="shared" si="9"/>
        <v>0</v>
      </c>
      <c r="AB39" s="72" t="s">
        <v>115</v>
      </c>
      <c r="AC39" s="35">
        <f t="shared" si="10"/>
        <v>0</v>
      </c>
      <c r="AD39" s="35" t="s">
        <v>75</v>
      </c>
      <c r="AE39" s="35">
        <f t="shared" si="11"/>
        <v>5</v>
      </c>
      <c r="AF39" s="63">
        <f t="shared" si="12"/>
        <v>20</v>
      </c>
      <c r="AG39" s="64">
        <f ca="1" t="shared" si="13"/>
        <v>20</v>
      </c>
      <c r="AH39" s="35">
        <f ca="1" t="shared" si="14"/>
        <v>60</v>
      </c>
      <c r="AI39" s="64">
        <f ca="1" t="shared" si="15"/>
        <v>0</v>
      </c>
      <c r="AJ39" s="35">
        <f ca="1" t="shared" si="16"/>
        <v>0</v>
      </c>
      <c r="AK39" s="35">
        <f t="shared" si="17"/>
        <v>10</v>
      </c>
      <c r="AL39" s="64">
        <f ca="1" t="shared" si="18"/>
        <v>29</v>
      </c>
      <c r="AM39" s="35">
        <f ca="1" t="shared" si="19"/>
        <v>174</v>
      </c>
      <c r="AN39" s="35">
        <f t="shared" si="20"/>
        <v>0</v>
      </c>
      <c r="AO39" s="64">
        <f ca="1" t="shared" si="21"/>
        <v>0</v>
      </c>
      <c r="AP39" s="35">
        <f ca="1" t="shared" si="22"/>
        <v>0</v>
      </c>
      <c r="AQ39" s="35">
        <f t="shared" si="23"/>
        <v>10</v>
      </c>
      <c r="AR39" s="64">
        <f ca="1" t="shared" si="24"/>
        <v>12</v>
      </c>
      <c r="AS39" s="35">
        <f ca="1" t="shared" si="25"/>
        <v>72</v>
      </c>
      <c r="AT39" s="65">
        <f>VLOOKUP(B39,经历时间!A:B,2,FALSE)</f>
        <v>1914.39</v>
      </c>
      <c r="AU39" s="67">
        <f t="shared" si="26"/>
        <v>0</v>
      </c>
      <c r="AV39" s="35">
        <f ca="1" t="shared" si="32"/>
        <v>66</v>
      </c>
      <c r="AW39" s="24">
        <v>-4</v>
      </c>
      <c r="AX39" s="35"/>
      <c r="AY39" s="24">
        <f ca="1">IFERROR(VLOOKUP(B39,'兼职+帮忙'!B:AF,28,FALSE),0)</f>
        <v>0</v>
      </c>
      <c r="AZ39" s="35"/>
    </row>
    <row r="40" s="43" customFormat="1" ht="15.6" customHeight="1" spans="1:52">
      <c r="A40" s="35">
        <v>247695</v>
      </c>
      <c r="B40" s="35" t="s">
        <v>121</v>
      </c>
      <c r="C40" s="35" t="str">
        <f>VLOOKUP(B40,'姓名+分部'!A:B,2,FALSE)</f>
        <v>一分部</v>
      </c>
      <c r="D40" s="57" t="s">
        <v>45</v>
      </c>
      <c r="E40" s="58" t="str">
        <f ca="1" t="shared" si="28"/>
        <v>无排名</v>
      </c>
      <c r="F40" s="35" t="str">
        <f ca="1" t="shared" si="0"/>
        <v>继续培训</v>
      </c>
      <c r="G40" s="35" t="str">
        <f t="shared" si="1"/>
        <v>不考核</v>
      </c>
      <c r="H40" s="59" t="str">
        <f t="shared" si="2"/>
        <v>完成考核</v>
      </c>
      <c r="I40" s="60">
        <v>43787</v>
      </c>
      <c r="J40" s="35">
        <f t="shared" si="3"/>
        <v>4</v>
      </c>
      <c r="K40" s="61">
        <v>43928</v>
      </c>
      <c r="L40" s="58">
        <f t="shared" si="29"/>
        <v>58</v>
      </c>
      <c r="M40" s="58">
        <f t="shared" si="30"/>
        <v>53</v>
      </c>
      <c r="N40" s="61">
        <v>45561</v>
      </c>
      <c r="O40" s="58" t="str">
        <f t="shared" si="4"/>
        <v>未完成</v>
      </c>
      <c r="P40" s="58" t="str">
        <f t="shared" si="31"/>
        <v>未完成</v>
      </c>
      <c r="Q40" s="61"/>
      <c r="R40" s="61"/>
      <c r="S40" s="35">
        <f t="shared" si="5"/>
        <v>45</v>
      </c>
      <c r="T40" s="60">
        <v>45180</v>
      </c>
      <c r="U40" s="35" t="str">
        <f t="shared" si="6"/>
        <v>未完成</v>
      </c>
      <c r="V40" s="61"/>
      <c r="W40" s="35" t="str">
        <f t="shared" si="7"/>
        <v>未完成</v>
      </c>
      <c r="X40" s="61"/>
      <c r="Y40" s="62">
        <f ca="1" t="shared" si="8"/>
        <v>228</v>
      </c>
      <c r="Z40" s="58" t="s">
        <v>75</v>
      </c>
      <c r="AA40" s="35">
        <f t="shared" si="9"/>
        <v>5</v>
      </c>
      <c r="AB40" s="35" t="s">
        <v>75</v>
      </c>
      <c r="AC40" s="35">
        <f t="shared" si="10"/>
        <v>10</v>
      </c>
      <c r="AD40" s="35" t="s">
        <v>75</v>
      </c>
      <c r="AE40" s="35">
        <f t="shared" si="11"/>
        <v>5</v>
      </c>
      <c r="AF40" s="63">
        <f t="shared" si="12"/>
        <v>20</v>
      </c>
      <c r="AG40" s="64">
        <f ca="1" t="shared" si="13"/>
        <v>15</v>
      </c>
      <c r="AH40" s="35">
        <f ca="1" t="shared" si="14"/>
        <v>45</v>
      </c>
      <c r="AI40" s="64">
        <f ca="1" t="shared" si="15"/>
        <v>0</v>
      </c>
      <c r="AJ40" s="35">
        <f ca="1" t="shared" si="16"/>
        <v>0</v>
      </c>
      <c r="AK40" s="35">
        <f t="shared" si="17"/>
        <v>10</v>
      </c>
      <c r="AL40" s="64">
        <f ca="1" t="shared" si="18"/>
        <v>28</v>
      </c>
      <c r="AM40" s="35">
        <f ca="1" t="shared" si="19"/>
        <v>168</v>
      </c>
      <c r="AN40" s="35">
        <f t="shared" si="20"/>
        <v>0</v>
      </c>
      <c r="AO40" s="64">
        <f ca="1" t="shared" si="21"/>
        <v>0</v>
      </c>
      <c r="AP40" s="35">
        <f ca="1" t="shared" si="22"/>
        <v>0</v>
      </c>
      <c r="AQ40" s="35">
        <f t="shared" si="23"/>
        <v>0</v>
      </c>
      <c r="AR40" s="64">
        <f ca="1" t="shared" si="24"/>
        <v>0</v>
      </c>
      <c r="AS40" s="35">
        <f ca="1" t="shared" si="25"/>
        <v>0</v>
      </c>
      <c r="AT40" s="65">
        <f>VLOOKUP(B40,经历时间!A:B,2,FALSE)</f>
        <v>2255.32</v>
      </c>
      <c r="AU40" s="67">
        <f t="shared" si="26"/>
        <v>0</v>
      </c>
      <c r="AV40" s="35">
        <f ca="1" t="shared" si="32"/>
        <v>73</v>
      </c>
      <c r="AW40" s="24">
        <v>-5</v>
      </c>
      <c r="AX40" s="35"/>
      <c r="AY40" s="24">
        <f ca="1">IFERROR(VLOOKUP(B40,'兼职+帮忙'!B:AF,28,FALSE),0)</f>
        <v>0</v>
      </c>
      <c r="AZ40" s="35"/>
    </row>
    <row r="41" s="43" customFormat="1" ht="15.6" customHeight="1" spans="1:52">
      <c r="A41" s="34">
        <v>271943</v>
      </c>
      <c r="B41" s="70" t="s">
        <v>122</v>
      </c>
      <c r="C41" s="35" t="str">
        <f>VLOOKUP(B41,'姓名+分部'!A:B,2,FALSE)</f>
        <v>一分部</v>
      </c>
      <c r="D41" s="57" t="s">
        <v>45</v>
      </c>
      <c r="E41" s="58" t="str">
        <f ca="1" t="shared" si="28"/>
        <v>无排名</v>
      </c>
      <c r="F41" s="35" t="str">
        <f ca="1" t="shared" si="0"/>
        <v>继续培训</v>
      </c>
      <c r="G41" s="35" t="str">
        <f t="shared" si="1"/>
        <v>不考核</v>
      </c>
      <c r="H41" s="59" t="str">
        <f t="shared" si="2"/>
        <v>完成考核</v>
      </c>
      <c r="I41" s="60">
        <v>44641</v>
      </c>
      <c r="J41" s="35">
        <f t="shared" si="3"/>
        <v>10</v>
      </c>
      <c r="K41" s="61">
        <v>44947</v>
      </c>
      <c r="L41" s="58">
        <f t="shared" si="29"/>
        <v>29</v>
      </c>
      <c r="M41" s="58">
        <f t="shared" si="30"/>
        <v>19</v>
      </c>
      <c r="N41" s="61">
        <v>45532</v>
      </c>
      <c r="O41" s="58" t="str">
        <f t="shared" si="4"/>
        <v>未完成</v>
      </c>
      <c r="P41" s="58" t="str">
        <f t="shared" si="31"/>
        <v>未完成</v>
      </c>
      <c r="Q41" s="35"/>
      <c r="R41" s="35"/>
      <c r="S41" s="35" t="str">
        <f t="shared" si="5"/>
        <v>未完成</v>
      </c>
      <c r="T41" s="60"/>
      <c r="U41" s="35">
        <f t="shared" si="6"/>
        <v>22</v>
      </c>
      <c r="V41" s="61">
        <v>45318</v>
      </c>
      <c r="W41" s="35" t="str">
        <f t="shared" si="7"/>
        <v>未完成</v>
      </c>
      <c r="X41" s="61"/>
      <c r="Y41" s="62">
        <f ca="1" t="shared" si="8"/>
        <v>206</v>
      </c>
      <c r="Z41" s="58" t="s">
        <v>75</v>
      </c>
      <c r="AA41" s="35">
        <f t="shared" si="9"/>
        <v>5</v>
      </c>
      <c r="AB41" s="35" t="s">
        <v>75</v>
      </c>
      <c r="AC41" s="35">
        <f t="shared" si="10"/>
        <v>10</v>
      </c>
      <c r="AD41" s="35" t="s">
        <v>75</v>
      </c>
      <c r="AE41" s="35">
        <f t="shared" si="11"/>
        <v>5</v>
      </c>
      <c r="AF41" s="63">
        <f t="shared" si="12"/>
        <v>20</v>
      </c>
      <c r="AG41" s="64">
        <f ca="1" t="shared" si="13"/>
        <v>16</v>
      </c>
      <c r="AH41" s="35">
        <f ca="1" t="shared" si="14"/>
        <v>48</v>
      </c>
      <c r="AI41" s="64">
        <f ca="1" t="shared" si="15"/>
        <v>0</v>
      </c>
      <c r="AJ41" s="35">
        <f ca="1" t="shared" si="16"/>
        <v>0</v>
      </c>
      <c r="AK41" s="35">
        <f t="shared" si="17"/>
        <v>0</v>
      </c>
      <c r="AL41" s="64">
        <f ca="1" t="shared" si="18"/>
        <v>0</v>
      </c>
      <c r="AM41" s="35">
        <f ca="1" t="shared" si="19"/>
        <v>0</v>
      </c>
      <c r="AN41" s="35">
        <f t="shared" si="20"/>
        <v>10</v>
      </c>
      <c r="AO41" s="64">
        <f ca="1" t="shared" si="21"/>
        <v>23</v>
      </c>
      <c r="AP41" s="35">
        <f ca="1" t="shared" si="22"/>
        <v>138</v>
      </c>
      <c r="AQ41" s="35">
        <f t="shared" si="23"/>
        <v>0</v>
      </c>
      <c r="AR41" s="64">
        <f ca="1" t="shared" si="24"/>
        <v>0</v>
      </c>
      <c r="AS41" s="35">
        <f ca="1" t="shared" si="25"/>
        <v>0</v>
      </c>
      <c r="AT41" s="65">
        <f>VLOOKUP(B41,经历时间!A:B,2,FALSE)</f>
        <v>1702.39</v>
      </c>
      <c r="AU41" s="67">
        <f t="shared" si="26"/>
        <v>0</v>
      </c>
      <c r="AV41" s="35">
        <f ca="1" t="shared" si="32"/>
        <v>45</v>
      </c>
      <c r="AW41" s="24">
        <v>0</v>
      </c>
      <c r="AX41" s="35"/>
      <c r="AY41" s="24">
        <f ca="1">IFERROR(VLOOKUP(B41,'兼职+帮忙'!B:AF,28,FALSE),0)</f>
        <v>0</v>
      </c>
      <c r="AZ41" s="35"/>
    </row>
    <row r="42" s="43" customFormat="1" ht="15.6" customHeight="1" spans="1:52">
      <c r="A42" s="34">
        <v>270784</v>
      </c>
      <c r="B42" s="70" t="s">
        <v>123</v>
      </c>
      <c r="C42" s="35" t="str">
        <f>VLOOKUP(B42,'姓名+分部'!A:B,2,FALSE)</f>
        <v>二分部</v>
      </c>
      <c r="D42" s="57" t="s">
        <v>45</v>
      </c>
      <c r="E42" s="58" t="str">
        <f ca="1" t="shared" si="28"/>
        <v>无排名</v>
      </c>
      <c r="F42" s="35" t="str">
        <f ca="1" t="shared" si="0"/>
        <v>继续培训</v>
      </c>
      <c r="G42" s="35" t="str">
        <f t="shared" si="1"/>
        <v>不考核</v>
      </c>
      <c r="H42" s="59" t="str">
        <f t="shared" si="2"/>
        <v>完成考核</v>
      </c>
      <c r="I42" s="60">
        <v>44539</v>
      </c>
      <c r="J42" s="35">
        <f t="shared" si="3"/>
        <v>14</v>
      </c>
      <c r="K42" s="61">
        <v>44985</v>
      </c>
      <c r="L42" s="58">
        <f t="shared" si="29"/>
        <v>31</v>
      </c>
      <c r="M42" s="58">
        <f t="shared" si="30"/>
        <v>17</v>
      </c>
      <c r="N42" s="61">
        <v>45510</v>
      </c>
      <c r="O42" s="58" t="str">
        <f t="shared" si="4"/>
        <v>未完成</v>
      </c>
      <c r="P42" s="58" t="str">
        <f t="shared" si="31"/>
        <v>未完成</v>
      </c>
      <c r="Q42" s="35"/>
      <c r="R42" s="35"/>
      <c r="S42" s="35" t="str">
        <f t="shared" si="5"/>
        <v>未完成</v>
      </c>
      <c r="T42" s="60"/>
      <c r="U42" s="35">
        <f t="shared" si="6"/>
        <v>25</v>
      </c>
      <c r="V42" s="61">
        <v>45307</v>
      </c>
      <c r="W42" s="35" t="str">
        <f t="shared" si="7"/>
        <v>未完成</v>
      </c>
      <c r="X42" s="61"/>
      <c r="Y42" s="62">
        <f ca="1" t="shared" si="8"/>
        <v>215</v>
      </c>
      <c r="Z42" s="58" t="s">
        <v>75</v>
      </c>
      <c r="AA42" s="35">
        <f t="shared" si="9"/>
        <v>5</v>
      </c>
      <c r="AB42" s="35" t="s">
        <v>75</v>
      </c>
      <c r="AC42" s="35">
        <f t="shared" si="10"/>
        <v>10</v>
      </c>
      <c r="AD42" s="35" t="s">
        <v>75</v>
      </c>
      <c r="AE42" s="35">
        <f t="shared" si="11"/>
        <v>5</v>
      </c>
      <c r="AF42" s="63">
        <f t="shared" si="12"/>
        <v>20</v>
      </c>
      <c r="AG42" s="64">
        <f ca="1" t="shared" si="13"/>
        <v>17</v>
      </c>
      <c r="AH42" s="35">
        <f ca="1" t="shared" si="14"/>
        <v>51</v>
      </c>
      <c r="AI42" s="64">
        <f ca="1" t="shared" si="15"/>
        <v>0</v>
      </c>
      <c r="AJ42" s="35">
        <f ca="1" t="shared" si="16"/>
        <v>0</v>
      </c>
      <c r="AK42" s="35">
        <f t="shared" si="17"/>
        <v>0</v>
      </c>
      <c r="AL42" s="64">
        <f ca="1" t="shared" si="18"/>
        <v>0</v>
      </c>
      <c r="AM42" s="35">
        <f ca="1" t="shared" si="19"/>
        <v>0</v>
      </c>
      <c r="AN42" s="35">
        <f t="shared" si="20"/>
        <v>10</v>
      </c>
      <c r="AO42" s="64">
        <f ca="1" t="shared" si="21"/>
        <v>24</v>
      </c>
      <c r="AP42" s="35">
        <f ca="1" t="shared" si="22"/>
        <v>144</v>
      </c>
      <c r="AQ42" s="35">
        <f t="shared" si="23"/>
        <v>0</v>
      </c>
      <c r="AR42" s="64">
        <f ca="1" t="shared" si="24"/>
        <v>0</v>
      </c>
      <c r="AS42" s="35">
        <f ca="1" t="shared" si="25"/>
        <v>0</v>
      </c>
      <c r="AT42" s="65">
        <f>VLOOKUP(B42,经历时间!A:B,2,FALSE)</f>
        <v>1604.05</v>
      </c>
      <c r="AU42" s="67">
        <f t="shared" si="26"/>
        <v>0</v>
      </c>
      <c r="AV42" s="35">
        <f ca="1" t="shared" si="32"/>
        <v>49</v>
      </c>
      <c r="AW42" s="24">
        <v>0</v>
      </c>
      <c r="AX42" s="35"/>
      <c r="AY42" s="24">
        <f ca="1">IFERROR(VLOOKUP(B42,'兼职+帮忙'!B:AF,28,FALSE),0)</f>
        <v>0</v>
      </c>
      <c r="AZ42" s="35"/>
    </row>
    <row r="43" s="43" customFormat="1" ht="15.6" customHeight="1" spans="1:52">
      <c r="A43" s="35">
        <v>266499</v>
      </c>
      <c r="B43" s="68" t="s">
        <v>124</v>
      </c>
      <c r="C43" s="35" t="str">
        <f>VLOOKUP(B43,'姓名+分部'!A:B,2,FALSE)</f>
        <v>二分部</v>
      </c>
      <c r="D43" s="57" t="s">
        <v>48</v>
      </c>
      <c r="E43" s="58">
        <f ca="1" t="shared" si="28"/>
        <v>28</v>
      </c>
      <c r="F43" s="35" t="str">
        <f ca="1" t="shared" si="0"/>
        <v>继续培训</v>
      </c>
      <c r="G43" s="35" t="str">
        <f t="shared" si="1"/>
        <v>不考核</v>
      </c>
      <c r="H43" s="59" t="str">
        <f t="shared" si="2"/>
        <v>完成考核</v>
      </c>
      <c r="I43" s="60">
        <v>44918</v>
      </c>
      <c r="J43" s="35">
        <f t="shared" si="3"/>
        <v>13</v>
      </c>
      <c r="K43" s="61">
        <v>45340</v>
      </c>
      <c r="L43" s="58">
        <f t="shared" si="29"/>
        <v>20</v>
      </c>
      <c r="M43" s="58">
        <f t="shared" si="30"/>
        <v>6</v>
      </c>
      <c r="N43" s="61">
        <v>45542</v>
      </c>
      <c r="O43" s="58">
        <f t="shared" si="4"/>
        <v>34</v>
      </c>
      <c r="P43" s="58">
        <f t="shared" si="31"/>
        <v>13</v>
      </c>
      <c r="Q43" s="59">
        <v>45953</v>
      </c>
      <c r="R43" s="35"/>
      <c r="S43" s="35">
        <f t="shared" si="5"/>
        <v>13</v>
      </c>
      <c r="T43" s="60">
        <v>45340</v>
      </c>
      <c r="U43" s="35">
        <f t="shared" si="6"/>
        <v>27</v>
      </c>
      <c r="V43" s="61">
        <v>45761</v>
      </c>
      <c r="W43" s="35">
        <f t="shared" si="7"/>
        <v>26</v>
      </c>
      <c r="X43" s="61">
        <v>45720</v>
      </c>
      <c r="Y43" s="62">
        <f ca="1" t="shared" si="8"/>
        <v>473.644</v>
      </c>
      <c r="Z43" s="58" t="s">
        <v>75</v>
      </c>
      <c r="AA43" s="35">
        <f t="shared" si="9"/>
        <v>5</v>
      </c>
      <c r="AB43" s="35" t="s">
        <v>75</v>
      </c>
      <c r="AC43" s="35">
        <f t="shared" si="10"/>
        <v>10</v>
      </c>
      <c r="AD43" s="35" t="s">
        <v>75</v>
      </c>
      <c r="AE43" s="35">
        <f t="shared" si="11"/>
        <v>5</v>
      </c>
      <c r="AF43" s="63">
        <f t="shared" si="12"/>
        <v>30</v>
      </c>
      <c r="AG43" s="64">
        <f ca="1" t="shared" si="13"/>
        <v>16</v>
      </c>
      <c r="AH43" s="35">
        <f ca="1" t="shared" si="14"/>
        <v>48</v>
      </c>
      <c r="AI43" s="64">
        <f ca="1" t="shared" si="15"/>
        <v>2</v>
      </c>
      <c r="AJ43" s="35">
        <f ca="1" t="shared" si="16"/>
        <v>12</v>
      </c>
      <c r="AK43" s="35">
        <f t="shared" si="17"/>
        <v>10</v>
      </c>
      <c r="AL43" s="64">
        <f ca="1" t="shared" si="18"/>
        <v>22</v>
      </c>
      <c r="AM43" s="35">
        <f ca="1" t="shared" si="19"/>
        <v>132</v>
      </c>
      <c r="AN43" s="35">
        <f t="shared" si="20"/>
        <v>10</v>
      </c>
      <c r="AO43" s="64">
        <f ca="1" t="shared" si="21"/>
        <v>9</v>
      </c>
      <c r="AP43" s="35">
        <f ca="1" t="shared" si="22"/>
        <v>54</v>
      </c>
      <c r="AQ43" s="35">
        <f t="shared" si="23"/>
        <v>10</v>
      </c>
      <c r="AR43" s="64">
        <f ca="1" t="shared" si="24"/>
        <v>10</v>
      </c>
      <c r="AS43" s="35">
        <f ca="1" t="shared" si="25"/>
        <v>60</v>
      </c>
      <c r="AT43" s="65">
        <f>VLOOKUP(B43,经历时间!A:B,2,FALSE)</f>
        <v>1476.44</v>
      </c>
      <c r="AU43" s="67">
        <f t="shared" si="26"/>
        <v>147.644</v>
      </c>
      <c r="AV43" s="35">
        <f ca="1" t="shared" si="32"/>
        <v>36</v>
      </c>
      <c r="AW43" s="24">
        <v>0</v>
      </c>
      <c r="AX43" s="35"/>
      <c r="AY43" s="24">
        <f ca="1">IFERROR(VLOOKUP(B43,'兼职+帮忙'!B:AF,28,FALSE),0)</f>
        <v>0</v>
      </c>
      <c r="AZ43" s="35"/>
    </row>
    <row r="44" s="43" customFormat="1" ht="15.6" customHeight="1" spans="1:52">
      <c r="A44" s="35">
        <v>271938</v>
      </c>
      <c r="B44" s="68" t="s">
        <v>125</v>
      </c>
      <c r="C44" s="35" t="str">
        <f>VLOOKUP(B44,'姓名+分部'!A:B,2,FALSE)</f>
        <v>二分部</v>
      </c>
      <c r="D44" s="57" t="s">
        <v>48</v>
      </c>
      <c r="E44" s="58">
        <f ca="1" t="shared" si="28"/>
        <v>31</v>
      </c>
      <c r="F44" s="35" t="str">
        <f ca="1" t="shared" si="0"/>
        <v>继续培训</v>
      </c>
      <c r="G44" s="35" t="str">
        <f t="shared" si="1"/>
        <v>不考核</v>
      </c>
      <c r="H44" s="59" t="str">
        <f t="shared" si="2"/>
        <v>完成考核</v>
      </c>
      <c r="I44" s="60">
        <v>45160</v>
      </c>
      <c r="J44" s="35">
        <f t="shared" si="3"/>
        <v>8</v>
      </c>
      <c r="K44" s="61">
        <v>45432</v>
      </c>
      <c r="L44" s="58">
        <f t="shared" si="29"/>
        <v>14</v>
      </c>
      <c r="M44" s="58">
        <f t="shared" si="30"/>
        <v>5</v>
      </c>
      <c r="N44" s="61">
        <v>45603</v>
      </c>
      <c r="O44" s="58">
        <f t="shared" si="4"/>
        <v>25</v>
      </c>
      <c r="P44" s="58">
        <f t="shared" si="31"/>
        <v>10</v>
      </c>
      <c r="Q44" s="59">
        <v>45924</v>
      </c>
      <c r="R44" s="35"/>
      <c r="S44" s="35">
        <f t="shared" si="5"/>
        <v>7</v>
      </c>
      <c r="T44" s="60">
        <v>45380</v>
      </c>
      <c r="U44" s="35" t="str">
        <f t="shared" si="6"/>
        <v>未完成</v>
      </c>
      <c r="V44" s="61"/>
      <c r="W44" s="35" t="str">
        <f t="shared" si="7"/>
        <v>未完成</v>
      </c>
      <c r="X44" s="61"/>
      <c r="Y44" s="62">
        <f ca="1" t="shared" si="8"/>
        <v>368.25</v>
      </c>
      <c r="Z44" s="58" t="s">
        <v>75</v>
      </c>
      <c r="AA44" s="35">
        <f t="shared" si="9"/>
        <v>5</v>
      </c>
      <c r="AB44" s="35" t="s">
        <v>75</v>
      </c>
      <c r="AC44" s="35">
        <f t="shared" si="10"/>
        <v>10</v>
      </c>
      <c r="AD44" s="35" t="s">
        <v>75</v>
      </c>
      <c r="AE44" s="35">
        <f t="shared" si="11"/>
        <v>5</v>
      </c>
      <c r="AF44" s="63">
        <f t="shared" si="12"/>
        <v>30</v>
      </c>
      <c r="AG44" s="64">
        <f ca="1" t="shared" si="13"/>
        <v>14</v>
      </c>
      <c r="AH44" s="35">
        <f ca="1" t="shared" si="14"/>
        <v>42</v>
      </c>
      <c r="AI44" s="64">
        <f ca="1" t="shared" si="15"/>
        <v>3</v>
      </c>
      <c r="AJ44" s="35">
        <f ca="1" t="shared" si="16"/>
        <v>18</v>
      </c>
      <c r="AK44" s="35">
        <f t="shared" si="17"/>
        <v>10</v>
      </c>
      <c r="AL44" s="64">
        <f ca="1" t="shared" si="18"/>
        <v>21</v>
      </c>
      <c r="AM44" s="35">
        <f ca="1" t="shared" si="19"/>
        <v>126</v>
      </c>
      <c r="AN44" s="35">
        <f t="shared" si="20"/>
        <v>0</v>
      </c>
      <c r="AO44" s="64">
        <f ca="1" t="shared" si="21"/>
        <v>0</v>
      </c>
      <c r="AP44" s="35">
        <f ca="1" t="shared" si="22"/>
        <v>0</v>
      </c>
      <c r="AQ44" s="35">
        <f t="shared" si="23"/>
        <v>0</v>
      </c>
      <c r="AR44" s="64">
        <f ca="1" t="shared" si="24"/>
        <v>0</v>
      </c>
      <c r="AS44" s="35">
        <f ca="1" t="shared" si="25"/>
        <v>0</v>
      </c>
      <c r="AT44" s="65">
        <f>VLOOKUP(B44,经历时间!A:B,2,FALSE)</f>
        <v>1622.5</v>
      </c>
      <c r="AU44" s="67">
        <f t="shared" si="26"/>
        <v>162.25</v>
      </c>
      <c r="AV44" s="35">
        <f ca="1" t="shared" si="32"/>
        <v>28</v>
      </c>
      <c r="AW44" s="24">
        <v>0</v>
      </c>
      <c r="AX44" s="35"/>
      <c r="AY44" s="24">
        <f ca="1">IFERROR(VLOOKUP(B44,'兼职+帮忙'!B:AF,28,FALSE),0)</f>
        <v>0</v>
      </c>
      <c r="AZ44" s="35"/>
    </row>
    <row r="45" s="43" customFormat="1" ht="15.6" customHeight="1" spans="1:52">
      <c r="A45" s="35">
        <v>279512</v>
      </c>
      <c r="B45" s="68" t="s">
        <v>126</v>
      </c>
      <c r="C45" s="35" t="str">
        <f>VLOOKUP(B45,'姓名+分部'!A:B,2,FALSE)</f>
        <v>三分部</v>
      </c>
      <c r="D45" s="57" t="s">
        <v>45</v>
      </c>
      <c r="E45" s="58" t="str">
        <f ca="1" t="shared" si="28"/>
        <v>无排名</v>
      </c>
      <c r="F45" s="35" t="str">
        <f ca="1" t="shared" si="0"/>
        <v>继续培训</v>
      </c>
      <c r="G45" s="35" t="str">
        <f t="shared" si="1"/>
        <v>不考核</v>
      </c>
      <c r="H45" s="59" t="str">
        <f t="shared" si="2"/>
        <v>完成考核</v>
      </c>
      <c r="I45" s="60">
        <v>45018</v>
      </c>
      <c r="J45" s="35">
        <f t="shared" si="3"/>
        <v>18</v>
      </c>
      <c r="K45" s="61">
        <v>45577</v>
      </c>
      <c r="L45" s="58">
        <f t="shared" si="29"/>
        <v>26</v>
      </c>
      <c r="M45" s="58">
        <f t="shared" si="30"/>
        <v>7</v>
      </c>
      <c r="N45" s="61">
        <v>45812</v>
      </c>
      <c r="O45" s="58" t="str">
        <f t="shared" si="4"/>
        <v>未完成</v>
      </c>
      <c r="P45" s="58" t="str">
        <f t="shared" si="31"/>
        <v>未完成</v>
      </c>
      <c r="Q45" s="35"/>
      <c r="R45" s="35"/>
      <c r="S45" s="35">
        <f t="shared" si="5"/>
        <v>15</v>
      </c>
      <c r="T45" s="60">
        <v>45489</v>
      </c>
      <c r="U45" s="35" t="str">
        <f t="shared" si="6"/>
        <v>未完成</v>
      </c>
      <c r="V45" s="61"/>
      <c r="W45" s="35" t="str">
        <f t="shared" si="7"/>
        <v>未完成</v>
      </c>
      <c r="X45" s="61"/>
      <c r="Y45" s="62">
        <f ca="1" t="shared" si="8"/>
        <v>149</v>
      </c>
      <c r="Z45" s="58" t="s">
        <v>75</v>
      </c>
      <c r="AA45" s="35">
        <f t="shared" si="9"/>
        <v>5</v>
      </c>
      <c r="AB45" s="35" t="s">
        <v>75</v>
      </c>
      <c r="AC45" s="35">
        <f t="shared" si="10"/>
        <v>10</v>
      </c>
      <c r="AD45" s="35" t="s">
        <v>75</v>
      </c>
      <c r="AE45" s="35">
        <f t="shared" si="11"/>
        <v>5</v>
      </c>
      <c r="AF45" s="63">
        <f t="shared" si="12"/>
        <v>20</v>
      </c>
      <c r="AG45" s="64">
        <f ca="1" t="shared" si="13"/>
        <v>7</v>
      </c>
      <c r="AH45" s="35">
        <f ca="1" t="shared" si="14"/>
        <v>21</v>
      </c>
      <c r="AI45" s="64">
        <f ca="1" t="shared" si="15"/>
        <v>0</v>
      </c>
      <c r="AJ45" s="35">
        <f ca="1" t="shared" si="16"/>
        <v>0</v>
      </c>
      <c r="AK45" s="35">
        <f t="shared" si="17"/>
        <v>10</v>
      </c>
      <c r="AL45" s="64">
        <f ca="1" t="shared" si="18"/>
        <v>18</v>
      </c>
      <c r="AM45" s="35">
        <f ca="1" t="shared" si="19"/>
        <v>108</v>
      </c>
      <c r="AN45" s="35">
        <f t="shared" si="20"/>
        <v>0</v>
      </c>
      <c r="AO45" s="64">
        <f ca="1" t="shared" si="21"/>
        <v>0</v>
      </c>
      <c r="AP45" s="35">
        <f ca="1" t="shared" si="22"/>
        <v>0</v>
      </c>
      <c r="AQ45" s="35">
        <f t="shared" si="23"/>
        <v>0</v>
      </c>
      <c r="AR45" s="64">
        <f ca="1" t="shared" si="24"/>
        <v>0</v>
      </c>
      <c r="AS45" s="35">
        <f ca="1" t="shared" si="25"/>
        <v>0</v>
      </c>
      <c r="AT45" s="65">
        <f>VLOOKUP(B45,经历时间!A:B,2,FALSE)</f>
        <v>1268.29</v>
      </c>
      <c r="AU45" s="67">
        <f t="shared" si="26"/>
        <v>0</v>
      </c>
      <c r="AV45" s="35">
        <f ca="1" t="shared" si="32"/>
        <v>33</v>
      </c>
      <c r="AW45" s="24">
        <v>0</v>
      </c>
      <c r="AX45" s="35"/>
      <c r="AY45" s="24">
        <f ca="1">IFERROR(VLOOKUP(B45,'兼职+帮忙'!B:AF,28,FALSE),0)</f>
        <v>0</v>
      </c>
      <c r="AZ45" s="35"/>
    </row>
    <row r="46" s="43" customFormat="1" ht="15.6" customHeight="1" spans="1:52">
      <c r="A46" s="35">
        <v>258464</v>
      </c>
      <c r="B46" s="35" t="s">
        <v>127</v>
      </c>
      <c r="C46" s="35" t="str">
        <f>VLOOKUP(B46,'姓名+分部'!A:B,2,FALSE)</f>
        <v>三分部</v>
      </c>
      <c r="D46" s="57" t="s">
        <v>45</v>
      </c>
      <c r="E46" s="58" t="str">
        <f ca="1" t="shared" si="28"/>
        <v>无排名</v>
      </c>
      <c r="F46" s="35" t="str">
        <f ca="1" t="shared" si="0"/>
        <v>继续培训</v>
      </c>
      <c r="G46" s="35" t="str">
        <f t="shared" si="1"/>
        <v>不考核</v>
      </c>
      <c r="H46" s="59" t="str">
        <f t="shared" si="2"/>
        <v>完成考核</v>
      </c>
      <c r="I46" s="60">
        <v>43997</v>
      </c>
      <c r="J46" s="35">
        <f t="shared" si="3"/>
        <v>3</v>
      </c>
      <c r="K46" s="61">
        <v>44108</v>
      </c>
      <c r="L46" s="58">
        <f t="shared" si="29"/>
        <v>59</v>
      </c>
      <c r="M46" s="58">
        <f t="shared" si="30"/>
        <v>56</v>
      </c>
      <c r="N46" s="61">
        <v>45818</v>
      </c>
      <c r="O46" s="58" t="str">
        <f t="shared" si="4"/>
        <v>未完成</v>
      </c>
      <c r="P46" s="58" t="str">
        <f t="shared" si="31"/>
        <v>未完成</v>
      </c>
      <c r="Q46" s="24"/>
      <c r="R46" s="24"/>
      <c r="S46" s="35">
        <f t="shared" si="5"/>
        <v>46</v>
      </c>
      <c r="T46" s="60">
        <v>45418</v>
      </c>
      <c r="U46" s="35" t="str">
        <f t="shared" si="6"/>
        <v>未完成</v>
      </c>
      <c r="V46" s="61"/>
      <c r="W46" s="35" t="str">
        <f t="shared" si="7"/>
        <v>未完成</v>
      </c>
      <c r="X46" s="61"/>
      <c r="Y46" s="62">
        <f ca="1" t="shared" si="8"/>
        <v>163.5</v>
      </c>
      <c r="Z46" s="35" t="s">
        <v>75</v>
      </c>
      <c r="AA46" s="35">
        <f t="shared" si="9"/>
        <v>5</v>
      </c>
      <c r="AB46" s="35" t="s">
        <v>75</v>
      </c>
      <c r="AC46" s="35">
        <f t="shared" si="10"/>
        <v>10</v>
      </c>
      <c r="AD46" s="35" t="s">
        <v>75</v>
      </c>
      <c r="AE46" s="35">
        <f t="shared" si="11"/>
        <v>5</v>
      </c>
      <c r="AF46" s="63">
        <f t="shared" si="12"/>
        <v>20</v>
      </c>
      <c r="AG46" s="64">
        <f ca="1" t="shared" si="13"/>
        <v>7</v>
      </c>
      <c r="AH46" s="35">
        <f ca="1" t="shared" si="14"/>
        <v>21</v>
      </c>
      <c r="AI46" s="64">
        <f ca="1" t="shared" si="15"/>
        <v>0</v>
      </c>
      <c r="AJ46" s="35">
        <f ca="1" t="shared" si="16"/>
        <v>0</v>
      </c>
      <c r="AK46" s="35">
        <f t="shared" si="17"/>
        <v>10</v>
      </c>
      <c r="AL46" s="64">
        <f ca="1" t="shared" si="18"/>
        <v>20</v>
      </c>
      <c r="AM46" s="35">
        <f ca="1" t="shared" si="19"/>
        <v>120</v>
      </c>
      <c r="AN46" s="35">
        <f t="shared" si="20"/>
        <v>0</v>
      </c>
      <c r="AO46" s="64">
        <f ca="1" t="shared" si="21"/>
        <v>0</v>
      </c>
      <c r="AP46" s="35">
        <f ca="1" t="shared" si="22"/>
        <v>0</v>
      </c>
      <c r="AQ46" s="35">
        <f t="shared" si="23"/>
        <v>0</v>
      </c>
      <c r="AR46" s="64">
        <f ca="1" t="shared" si="24"/>
        <v>0</v>
      </c>
      <c r="AS46" s="35">
        <f ca="1" t="shared" si="25"/>
        <v>0</v>
      </c>
      <c r="AT46" s="65">
        <f>VLOOKUP(B46,经历时间!A:B,2,FALSE)</f>
        <v>2375.35</v>
      </c>
      <c r="AU46" s="67">
        <f t="shared" si="26"/>
        <v>0</v>
      </c>
      <c r="AV46" s="35">
        <f ca="1" t="shared" si="32"/>
        <v>67</v>
      </c>
      <c r="AW46" s="24">
        <v>2.5</v>
      </c>
      <c r="AX46" s="35"/>
      <c r="AY46" s="24">
        <f ca="1">IFERROR(VLOOKUP(B46,'兼职+帮忙'!B:AF,28,FALSE),0)</f>
        <v>0</v>
      </c>
      <c r="AZ46" s="35"/>
    </row>
    <row r="47" s="43" customFormat="1" ht="15.6" customHeight="1" spans="1:52">
      <c r="A47" s="35">
        <v>211631</v>
      </c>
      <c r="B47" s="68" t="s">
        <v>128</v>
      </c>
      <c r="C47" s="35" t="str">
        <f>VLOOKUP(B47,'姓名+分部'!A:B,2,FALSE)</f>
        <v>一分部</v>
      </c>
      <c r="D47" s="57" t="s">
        <v>45</v>
      </c>
      <c r="E47" s="58" t="str">
        <f ca="1" t="shared" si="28"/>
        <v>无排名</v>
      </c>
      <c r="F47" s="35" t="str">
        <f ca="1" t="shared" si="0"/>
        <v>继续培训</v>
      </c>
      <c r="G47" s="35" t="str">
        <f t="shared" si="1"/>
        <v>不考核</v>
      </c>
      <c r="H47" s="59" t="str">
        <f t="shared" si="2"/>
        <v>完成考核</v>
      </c>
      <c r="I47" s="60">
        <v>44711</v>
      </c>
      <c r="J47" s="35">
        <f t="shared" si="3"/>
        <v>12</v>
      </c>
      <c r="K47" s="61">
        <v>45105</v>
      </c>
      <c r="L47" s="58">
        <f t="shared" si="29"/>
        <v>31</v>
      </c>
      <c r="M47" s="58">
        <f t="shared" si="30"/>
        <v>18</v>
      </c>
      <c r="N47" s="61">
        <v>45680</v>
      </c>
      <c r="O47" s="58" t="str">
        <f t="shared" si="4"/>
        <v>未完成</v>
      </c>
      <c r="P47" s="58" t="str">
        <f t="shared" si="31"/>
        <v>未完成</v>
      </c>
      <c r="Q47" s="35"/>
      <c r="R47" s="35"/>
      <c r="S47" s="35">
        <f t="shared" si="5"/>
        <v>22</v>
      </c>
      <c r="T47" s="60">
        <v>45389</v>
      </c>
      <c r="U47" s="35" t="str">
        <f t="shared" si="6"/>
        <v>未完成</v>
      </c>
      <c r="V47" s="61"/>
      <c r="W47" s="35" t="str">
        <f t="shared" si="7"/>
        <v>未完成</v>
      </c>
      <c r="X47" s="61"/>
      <c r="Y47" s="62">
        <f ca="1" t="shared" si="8"/>
        <v>179</v>
      </c>
      <c r="Z47" s="58" t="s">
        <v>75</v>
      </c>
      <c r="AA47" s="35">
        <f t="shared" si="9"/>
        <v>5</v>
      </c>
      <c r="AB47" s="35" t="s">
        <v>75</v>
      </c>
      <c r="AC47" s="35">
        <f t="shared" si="10"/>
        <v>10</v>
      </c>
      <c r="AD47" s="35" t="s">
        <v>75</v>
      </c>
      <c r="AE47" s="35">
        <f t="shared" si="11"/>
        <v>5</v>
      </c>
      <c r="AF47" s="63">
        <f t="shared" si="12"/>
        <v>20</v>
      </c>
      <c r="AG47" s="64">
        <f ca="1" t="shared" si="13"/>
        <v>11</v>
      </c>
      <c r="AH47" s="35">
        <f ca="1" t="shared" si="14"/>
        <v>33</v>
      </c>
      <c r="AI47" s="64">
        <f ca="1" t="shared" si="15"/>
        <v>0</v>
      </c>
      <c r="AJ47" s="35">
        <f ca="1" t="shared" si="16"/>
        <v>0</v>
      </c>
      <c r="AK47" s="35">
        <f t="shared" si="17"/>
        <v>10</v>
      </c>
      <c r="AL47" s="64">
        <f ca="1" t="shared" si="18"/>
        <v>21</v>
      </c>
      <c r="AM47" s="35">
        <f ca="1" t="shared" si="19"/>
        <v>126</v>
      </c>
      <c r="AN47" s="35">
        <f t="shared" si="20"/>
        <v>0</v>
      </c>
      <c r="AO47" s="64">
        <f ca="1" t="shared" si="21"/>
        <v>0</v>
      </c>
      <c r="AP47" s="35">
        <f ca="1" t="shared" si="22"/>
        <v>0</v>
      </c>
      <c r="AQ47" s="35">
        <f t="shared" si="23"/>
        <v>0</v>
      </c>
      <c r="AR47" s="64">
        <f ca="1" t="shared" si="24"/>
        <v>0</v>
      </c>
      <c r="AS47" s="35">
        <f ca="1" t="shared" si="25"/>
        <v>0</v>
      </c>
      <c r="AT47" s="65">
        <f>VLOOKUP(B47,经历时间!A:B,2,FALSE)</f>
        <v>6372.06</v>
      </c>
      <c r="AU47" s="67">
        <f t="shared" si="26"/>
        <v>0</v>
      </c>
      <c r="AV47" s="35">
        <f ca="1" t="shared" si="32"/>
        <v>43</v>
      </c>
      <c r="AW47" s="24">
        <v>0</v>
      </c>
      <c r="AX47" s="35"/>
      <c r="AY47" s="24">
        <f ca="1">IFERROR(VLOOKUP(B47,'兼职+帮忙'!B:AF,28,FALSE),0)</f>
        <v>0</v>
      </c>
      <c r="AZ47" s="35"/>
    </row>
    <row r="48" s="43" customFormat="1" ht="15.6" customHeight="1" spans="1:52">
      <c r="A48" s="35">
        <v>270795</v>
      </c>
      <c r="B48" s="35" t="s">
        <v>129</v>
      </c>
      <c r="C48" s="35" t="str">
        <f>VLOOKUP(B48,'姓名+分部'!A:B,2,FALSE)</f>
        <v>一分部</v>
      </c>
      <c r="D48" s="57" t="s">
        <v>45</v>
      </c>
      <c r="E48" s="58" t="str">
        <f ca="1" t="shared" si="28"/>
        <v>无排名</v>
      </c>
      <c r="F48" s="35" t="str">
        <f ca="1" t="shared" si="0"/>
        <v>继续培训</v>
      </c>
      <c r="G48" s="35" t="str">
        <f t="shared" si="1"/>
        <v>不考核</v>
      </c>
      <c r="H48" s="59" t="str">
        <f t="shared" si="2"/>
        <v>完成考核</v>
      </c>
      <c r="I48" s="60">
        <v>45004</v>
      </c>
      <c r="J48" s="35">
        <f t="shared" si="3"/>
        <v>10</v>
      </c>
      <c r="K48" s="61">
        <v>45340</v>
      </c>
      <c r="L48" s="58">
        <f t="shared" si="29"/>
        <v>21</v>
      </c>
      <c r="M48" s="58">
        <f t="shared" si="30"/>
        <v>10</v>
      </c>
      <c r="N48" s="61">
        <v>45646</v>
      </c>
      <c r="O48" s="58" t="str">
        <f t="shared" si="4"/>
        <v>未完成</v>
      </c>
      <c r="P48" s="58" t="str">
        <f t="shared" si="31"/>
        <v>未完成</v>
      </c>
      <c r="Q48" s="58"/>
      <c r="R48" s="58"/>
      <c r="S48" s="35">
        <f t="shared" si="5"/>
        <v>19</v>
      </c>
      <c r="T48" s="60">
        <v>45591</v>
      </c>
      <c r="U48" s="35" t="str">
        <f t="shared" si="6"/>
        <v>未完成</v>
      </c>
      <c r="V48" s="61"/>
      <c r="W48" s="35" t="str">
        <f t="shared" si="7"/>
        <v>未完成</v>
      </c>
      <c r="X48" s="61"/>
      <c r="Y48" s="62">
        <f ca="1" t="shared" si="8"/>
        <v>135.1</v>
      </c>
      <c r="Z48" s="58" t="s">
        <v>75</v>
      </c>
      <c r="AA48" s="35">
        <f t="shared" si="9"/>
        <v>5</v>
      </c>
      <c r="AB48" s="58" t="s">
        <v>75</v>
      </c>
      <c r="AC48" s="35">
        <f t="shared" si="10"/>
        <v>10</v>
      </c>
      <c r="AD48" s="58" t="s">
        <v>75</v>
      </c>
      <c r="AE48" s="35">
        <f t="shared" si="11"/>
        <v>5</v>
      </c>
      <c r="AF48" s="63">
        <f t="shared" si="12"/>
        <v>20</v>
      </c>
      <c r="AG48" s="64">
        <f ca="1" t="shared" si="13"/>
        <v>12</v>
      </c>
      <c r="AH48" s="35">
        <f ca="1" t="shared" si="14"/>
        <v>36</v>
      </c>
      <c r="AI48" s="64">
        <f ca="1" t="shared" si="15"/>
        <v>0</v>
      </c>
      <c r="AJ48" s="35">
        <f ca="1" t="shared" si="16"/>
        <v>0</v>
      </c>
      <c r="AK48" s="35">
        <f t="shared" si="17"/>
        <v>10</v>
      </c>
      <c r="AL48" s="64">
        <f ca="1" t="shared" si="18"/>
        <v>14</v>
      </c>
      <c r="AM48" s="35">
        <f ca="1" t="shared" si="19"/>
        <v>84</v>
      </c>
      <c r="AN48" s="35">
        <f t="shared" si="20"/>
        <v>0</v>
      </c>
      <c r="AO48" s="64">
        <f ca="1" t="shared" si="21"/>
        <v>0</v>
      </c>
      <c r="AP48" s="35">
        <f ca="1" t="shared" si="22"/>
        <v>0</v>
      </c>
      <c r="AQ48" s="35">
        <f t="shared" si="23"/>
        <v>0</v>
      </c>
      <c r="AR48" s="64">
        <f ca="1" t="shared" si="24"/>
        <v>0</v>
      </c>
      <c r="AS48" s="35">
        <f ca="1" t="shared" si="25"/>
        <v>0</v>
      </c>
      <c r="AT48" s="65">
        <f>VLOOKUP(B48,经历时间!A:B,2,FALSE)</f>
        <v>1224.18</v>
      </c>
      <c r="AU48" s="67">
        <f t="shared" si="26"/>
        <v>0</v>
      </c>
      <c r="AV48" s="35">
        <f ca="1" t="shared" si="32"/>
        <v>33</v>
      </c>
      <c r="AW48" s="24">
        <v>0.1</v>
      </c>
      <c r="AX48" s="35">
        <v>-5</v>
      </c>
      <c r="AY48" s="24">
        <f ca="1">IFERROR(VLOOKUP(B48,'兼职+帮忙'!B:AF,28,FALSE),0)</f>
        <v>0</v>
      </c>
      <c r="AZ48" s="35"/>
    </row>
    <row r="49" s="43" customFormat="1" ht="15.6" customHeight="1" spans="1:52">
      <c r="A49" s="35">
        <v>273293</v>
      </c>
      <c r="B49" s="35" t="s">
        <v>130</v>
      </c>
      <c r="C49" s="35" t="str">
        <f>VLOOKUP(B49,'姓名+分部'!A:B,2,FALSE)</f>
        <v>三分部</v>
      </c>
      <c r="D49" s="57" t="s">
        <v>45</v>
      </c>
      <c r="E49" s="58" t="str">
        <f ca="1" t="shared" si="28"/>
        <v>无排名</v>
      </c>
      <c r="F49" s="35" t="str">
        <f ca="1" t="shared" si="0"/>
        <v>继续培训</v>
      </c>
      <c r="G49" s="35" t="str">
        <f t="shared" si="1"/>
        <v>不考核</v>
      </c>
      <c r="H49" s="59" t="str">
        <f t="shared" si="2"/>
        <v>完成考核</v>
      </c>
      <c r="I49" s="69">
        <v>45019</v>
      </c>
      <c r="J49" s="35">
        <f t="shared" si="3"/>
        <v>3</v>
      </c>
      <c r="K49" s="59">
        <v>45137</v>
      </c>
      <c r="L49" s="58">
        <f t="shared" si="29"/>
        <v>24</v>
      </c>
      <c r="M49" s="58">
        <f t="shared" si="30"/>
        <v>20</v>
      </c>
      <c r="N49" s="59">
        <v>45761</v>
      </c>
      <c r="O49" s="58" t="str">
        <f t="shared" si="4"/>
        <v>未完成</v>
      </c>
      <c r="P49" s="58" t="str">
        <f t="shared" si="31"/>
        <v>未完成</v>
      </c>
      <c r="Q49" s="35"/>
      <c r="R49" s="35"/>
      <c r="S49" s="35" t="str">
        <f t="shared" si="5"/>
        <v>未完成</v>
      </c>
      <c r="T49" s="60"/>
      <c r="U49" s="35">
        <f t="shared" si="6"/>
        <v>17</v>
      </c>
      <c r="V49" s="60">
        <v>45559</v>
      </c>
      <c r="W49" s="35" t="str">
        <f t="shared" si="7"/>
        <v>未完成</v>
      </c>
      <c r="X49" s="61"/>
      <c r="Y49" s="62">
        <f ca="1" t="shared" si="8"/>
        <v>148</v>
      </c>
      <c r="Z49" s="58" t="s">
        <v>75</v>
      </c>
      <c r="AA49" s="35">
        <f t="shared" si="9"/>
        <v>5</v>
      </c>
      <c r="AB49" s="58" t="s">
        <v>75</v>
      </c>
      <c r="AC49" s="35">
        <f t="shared" si="10"/>
        <v>10</v>
      </c>
      <c r="AD49" s="58" t="s">
        <v>75</v>
      </c>
      <c r="AE49" s="35">
        <f t="shared" si="11"/>
        <v>5</v>
      </c>
      <c r="AF49" s="63">
        <f t="shared" si="12"/>
        <v>20</v>
      </c>
      <c r="AG49" s="64">
        <f ca="1" t="shared" si="13"/>
        <v>9</v>
      </c>
      <c r="AH49" s="35">
        <f ca="1" t="shared" si="14"/>
        <v>27</v>
      </c>
      <c r="AI49" s="64">
        <f ca="1" t="shared" si="15"/>
        <v>0</v>
      </c>
      <c r="AJ49" s="35">
        <f ca="1" t="shared" si="16"/>
        <v>0</v>
      </c>
      <c r="AK49" s="35">
        <f t="shared" si="17"/>
        <v>0</v>
      </c>
      <c r="AL49" s="64">
        <f ca="1" t="shared" si="18"/>
        <v>0</v>
      </c>
      <c r="AM49" s="35">
        <f ca="1" t="shared" si="19"/>
        <v>0</v>
      </c>
      <c r="AN49" s="35">
        <f t="shared" si="20"/>
        <v>10</v>
      </c>
      <c r="AO49" s="64">
        <f ca="1" t="shared" si="21"/>
        <v>15</v>
      </c>
      <c r="AP49" s="35">
        <f ca="1" t="shared" si="22"/>
        <v>90</v>
      </c>
      <c r="AQ49" s="35">
        <f t="shared" si="23"/>
        <v>0</v>
      </c>
      <c r="AR49" s="64">
        <f ca="1" t="shared" si="24"/>
        <v>0</v>
      </c>
      <c r="AS49" s="35">
        <f ca="1" t="shared" si="25"/>
        <v>0</v>
      </c>
      <c r="AT49" s="65">
        <f>VLOOKUP(B49,经历时间!A:B,2,FALSE)</f>
        <v>1259.54</v>
      </c>
      <c r="AU49" s="67">
        <f t="shared" si="26"/>
        <v>0</v>
      </c>
      <c r="AV49" s="35">
        <f ca="1" t="shared" si="32"/>
        <v>33</v>
      </c>
      <c r="AW49" s="24">
        <v>11</v>
      </c>
      <c r="AX49" s="35"/>
      <c r="AY49" s="24">
        <f ca="1">IFERROR(VLOOKUP(B49,'兼职+帮忙'!B:AF,28,FALSE),0)</f>
        <v>0</v>
      </c>
      <c r="AZ49" s="35"/>
    </row>
    <row r="50" s="43" customFormat="1" ht="15.6" customHeight="1" spans="1:52">
      <c r="A50" s="15">
        <v>279453</v>
      </c>
      <c r="B50" s="68" t="s">
        <v>131</v>
      </c>
      <c r="C50" s="35" t="str">
        <f>VLOOKUP(B50,'姓名+分部'!A:B,2,FALSE)</f>
        <v>二分部</v>
      </c>
      <c r="D50" s="57" t="s">
        <v>45</v>
      </c>
      <c r="E50" s="58" t="str">
        <f ca="1" t="shared" si="28"/>
        <v>无排名</v>
      </c>
      <c r="F50" s="35" t="str">
        <f ca="1" t="shared" si="0"/>
        <v>继续培训</v>
      </c>
      <c r="G50" s="35" t="str">
        <f t="shared" si="1"/>
        <v>不考核</v>
      </c>
      <c r="H50" s="59" t="str">
        <f t="shared" si="2"/>
        <v>完成考核</v>
      </c>
      <c r="I50" s="60">
        <v>45278</v>
      </c>
      <c r="J50" s="35">
        <f t="shared" si="3"/>
        <v>12</v>
      </c>
      <c r="K50" s="61">
        <v>45653</v>
      </c>
      <c r="L50" s="58">
        <f t="shared" si="29"/>
        <v>20</v>
      </c>
      <c r="M50" s="58">
        <f t="shared" si="30"/>
        <v>8</v>
      </c>
      <c r="N50" s="61">
        <v>45896</v>
      </c>
      <c r="O50" s="58" t="str">
        <f t="shared" si="4"/>
        <v>未完成</v>
      </c>
      <c r="P50" s="58" t="str">
        <f t="shared" si="31"/>
        <v>未完成</v>
      </c>
      <c r="Q50" s="35"/>
      <c r="R50" s="35"/>
      <c r="S50" s="35">
        <f t="shared" si="5"/>
        <v>8</v>
      </c>
      <c r="T50" s="60">
        <v>45537</v>
      </c>
      <c r="U50" s="35">
        <f t="shared" si="6"/>
        <v>19</v>
      </c>
      <c r="V50" s="61">
        <v>45864</v>
      </c>
      <c r="W50" s="35" t="str">
        <f t="shared" si="7"/>
        <v>未完成</v>
      </c>
      <c r="X50" s="61"/>
      <c r="Y50" s="62">
        <f ca="1" t="shared" si="8"/>
        <v>158</v>
      </c>
      <c r="Z50" s="58" t="s">
        <v>75</v>
      </c>
      <c r="AA50" s="35">
        <f t="shared" si="9"/>
        <v>5</v>
      </c>
      <c r="AB50" s="58" t="s">
        <v>75</v>
      </c>
      <c r="AC50" s="35">
        <f t="shared" si="10"/>
        <v>10</v>
      </c>
      <c r="AD50" s="58" t="s">
        <v>75</v>
      </c>
      <c r="AE50" s="35">
        <f t="shared" si="11"/>
        <v>5</v>
      </c>
      <c r="AF50" s="63">
        <f t="shared" si="12"/>
        <v>20</v>
      </c>
      <c r="AG50" s="64">
        <f ca="1" t="shared" si="13"/>
        <v>4</v>
      </c>
      <c r="AH50" s="35">
        <f ca="1" t="shared" si="14"/>
        <v>12</v>
      </c>
      <c r="AI50" s="64">
        <f ca="1" t="shared" si="15"/>
        <v>0</v>
      </c>
      <c r="AJ50" s="35">
        <f ca="1" t="shared" si="16"/>
        <v>0</v>
      </c>
      <c r="AK50" s="35">
        <f t="shared" si="17"/>
        <v>10</v>
      </c>
      <c r="AL50" s="64">
        <f ca="1" t="shared" si="18"/>
        <v>16</v>
      </c>
      <c r="AM50" s="35">
        <f ca="1" t="shared" si="19"/>
        <v>96</v>
      </c>
      <c r="AN50" s="35">
        <f t="shared" si="20"/>
        <v>10</v>
      </c>
      <c r="AO50" s="64">
        <f ca="1" t="shared" si="21"/>
        <v>5</v>
      </c>
      <c r="AP50" s="35">
        <f ca="1" t="shared" si="22"/>
        <v>30</v>
      </c>
      <c r="AQ50" s="35">
        <f t="shared" si="23"/>
        <v>0</v>
      </c>
      <c r="AR50" s="64">
        <f ca="1" t="shared" si="24"/>
        <v>0</v>
      </c>
      <c r="AS50" s="35">
        <f ca="1" t="shared" si="25"/>
        <v>0</v>
      </c>
      <c r="AT50" s="65">
        <f>VLOOKUP(B50,经历时间!A:B,2,FALSE)</f>
        <v>1136.51</v>
      </c>
      <c r="AU50" s="67">
        <f t="shared" si="26"/>
        <v>0</v>
      </c>
      <c r="AV50" s="35">
        <f ca="1" t="shared" si="32"/>
        <v>24</v>
      </c>
      <c r="AW50" s="24">
        <v>0</v>
      </c>
      <c r="AX50" s="35"/>
      <c r="AY50" s="24">
        <f ca="1">IFERROR(VLOOKUP(B50,'兼职+帮忙'!B:AF,28,FALSE),0)</f>
        <v>0</v>
      </c>
      <c r="AZ50" s="35"/>
    </row>
    <row r="51" s="43" customFormat="1" ht="15.6" customHeight="1" spans="1:52">
      <c r="A51" s="35">
        <v>282153</v>
      </c>
      <c r="B51" s="68" t="s">
        <v>132</v>
      </c>
      <c r="C51" s="35" t="str">
        <f>VLOOKUP(B51,'姓名+分部'!A:B,2,FALSE)</f>
        <v>一分部</v>
      </c>
      <c r="D51" s="57" t="s">
        <v>48</v>
      </c>
      <c r="E51" s="58">
        <f ca="1" t="shared" si="28"/>
        <v>35</v>
      </c>
      <c r="F51" s="35" t="str">
        <f ca="1" t="shared" si="0"/>
        <v>继续培训</v>
      </c>
      <c r="G51" s="35" t="str">
        <f t="shared" si="1"/>
        <v>不考核</v>
      </c>
      <c r="H51" s="59" t="str">
        <f t="shared" si="2"/>
        <v>完成考核</v>
      </c>
      <c r="I51" s="60">
        <v>45142</v>
      </c>
      <c r="J51" s="35">
        <f t="shared" si="3"/>
        <v>11</v>
      </c>
      <c r="K51" s="61">
        <v>45489</v>
      </c>
      <c r="L51" s="58">
        <f t="shared" si="29"/>
        <v>17</v>
      </c>
      <c r="M51" s="58">
        <f t="shared" si="30"/>
        <v>6</v>
      </c>
      <c r="N51" s="61">
        <v>45689</v>
      </c>
      <c r="O51" s="58">
        <f t="shared" si="4"/>
        <v>26</v>
      </c>
      <c r="P51" s="58">
        <f t="shared" si="31"/>
        <v>8</v>
      </c>
      <c r="Q51" s="59">
        <v>45946</v>
      </c>
      <c r="R51" s="35"/>
      <c r="S51" s="35">
        <f t="shared" si="5"/>
        <v>13</v>
      </c>
      <c r="T51" s="60">
        <v>45561</v>
      </c>
      <c r="U51" s="35">
        <f t="shared" si="6"/>
        <v>20</v>
      </c>
      <c r="V51" s="61">
        <v>45777</v>
      </c>
      <c r="W51" s="35" t="str">
        <f t="shared" si="7"/>
        <v>未完成</v>
      </c>
      <c r="X51" s="61"/>
      <c r="Y51" s="62">
        <f ca="1" t="shared" si="8"/>
        <v>325.326</v>
      </c>
      <c r="Z51" s="58" t="s">
        <v>75</v>
      </c>
      <c r="AA51" s="35">
        <f t="shared" si="9"/>
        <v>5</v>
      </c>
      <c r="AB51" s="58" t="s">
        <v>75</v>
      </c>
      <c r="AC51" s="35">
        <f t="shared" si="10"/>
        <v>10</v>
      </c>
      <c r="AD51" s="58" t="s">
        <v>75</v>
      </c>
      <c r="AE51" s="35">
        <f t="shared" si="11"/>
        <v>5</v>
      </c>
      <c r="AF51" s="63">
        <f t="shared" si="12"/>
        <v>30</v>
      </c>
      <c r="AG51" s="64">
        <f ca="1" t="shared" si="13"/>
        <v>11</v>
      </c>
      <c r="AH51" s="35">
        <f ca="1" t="shared" si="14"/>
        <v>33</v>
      </c>
      <c r="AI51" s="64">
        <f ca="1" t="shared" si="15"/>
        <v>3</v>
      </c>
      <c r="AJ51" s="35">
        <f ca="1" t="shared" si="16"/>
        <v>18</v>
      </c>
      <c r="AK51" s="35">
        <f t="shared" si="17"/>
        <v>10</v>
      </c>
      <c r="AL51" s="64">
        <f ca="1" t="shared" si="18"/>
        <v>15</v>
      </c>
      <c r="AM51" s="35">
        <f ca="1" t="shared" si="19"/>
        <v>90</v>
      </c>
      <c r="AN51" s="35">
        <f t="shared" si="20"/>
        <v>10</v>
      </c>
      <c r="AO51" s="64">
        <f ca="1" t="shared" si="21"/>
        <v>8</v>
      </c>
      <c r="AP51" s="35">
        <f ca="1" t="shared" si="22"/>
        <v>48</v>
      </c>
      <c r="AQ51" s="35">
        <f t="shared" si="23"/>
        <v>0</v>
      </c>
      <c r="AR51" s="64">
        <f ca="1" t="shared" si="24"/>
        <v>0</v>
      </c>
      <c r="AS51" s="35">
        <f ca="1" t="shared" si="25"/>
        <v>0</v>
      </c>
      <c r="AT51" s="65">
        <f>VLOOKUP(B51,经历时间!A:B,2,FALSE)</f>
        <v>1163.26</v>
      </c>
      <c r="AU51" s="67">
        <f t="shared" si="26"/>
        <v>116.326</v>
      </c>
      <c r="AV51" s="35">
        <f ca="1" t="shared" si="32"/>
        <v>29</v>
      </c>
      <c r="AW51" s="24">
        <v>0</v>
      </c>
      <c r="AX51" s="35"/>
      <c r="AY51" s="24">
        <f ca="1">IFERROR(VLOOKUP(B51,'兼职+帮忙'!B:AF,28,FALSE),0)</f>
        <v>0</v>
      </c>
      <c r="AZ51" s="35"/>
    </row>
    <row r="52" s="43" customFormat="1" ht="15.6" customHeight="1" spans="1:52">
      <c r="A52" s="34">
        <v>285839</v>
      </c>
      <c r="B52" s="70" t="s">
        <v>133</v>
      </c>
      <c r="C52" s="35" t="str">
        <f>VLOOKUP(B52,'姓名+分部'!A:B,2,FALSE)</f>
        <v>一分部</v>
      </c>
      <c r="D52" s="57" t="s">
        <v>45</v>
      </c>
      <c r="E52" s="58" t="str">
        <f ca="1" t="shared" si="28"/>
        <v>无排名</v>
      </c>
      <c r="F52" s="35" t="str">
        <f ca="1" t="shared" si="0"/>
        <v>继续培训</v>
      </c>
      <c r="G52" s="35" t="s">
        <v>42</v>
      </c>
      <c r="H52" s="59" t="str">
        <f t="shared" si="2"/>
        <v>完成考核</v>
      </c>
      <c r="I52" s="60">
        <v>45456</v>
      </c>
      <c r="J52" s="35">
        <f t="shared" si="3"/>
        <v>7</v>
      </c>
      <c r="K52" s="59">
        <v>45679</v>
      </c>
      <c r="L52" s="58">
        <f t="shared" si="29"/>
        <v>13</v>
      </c>
      <c r="M52" s="58">
        <f t="shared" si="30"/>
        <v>6</v>
      </c>
      <c r="N52" s="59">
        <v>45860</v>
      </c>
      <c r="O52" s="58" t="str">
        <f t="shared" si="4"/>
        <v>未完成</v>
      </c>
      <c r="P52" s="58" t="str">
        <f t="shared" si="31"/>
        <v>未完成</v>
      </c>
      <c r="Q52" s="35"/>
      <c r="R52" s="35"/>
      <c r="S52" s="35">
        <f t="shared" si="5"/>
        <v>2</v>
      </c>
      <c r="T52" s="59">
        <v>45542</v>
      </c>
      <c r="U52" s="35" t="str">
        <f t="shared" si="6"/>
        <v>未完成</v>
      </c>
      <c r="V52" s="61"/>
      <c r="W52" s="35" t="str">
        <f t="shared" si="7"/>
        <v>未完成</v>
      </c>
      <c r="X52" s="61"/>
      <c r="Y52" s="62">
        <f ca="1" t="shared" si="8"/>
        <v>131</v>
      </c>
      <c r="Z52" s="58" t="s">
        <v>75</v>
      </c>
      <c r="AA52" s="35">
        <f t="shared" si="9"/>
        <v>5</v>
      </c>
      <c r="AB52" s="58" t="s">
        <v>75</v>
      </c>
      <c r="AC52" s="35">
        <f t="shared" si="10"/>
        <v>10</v>
      </c>
      <c r="AD52" s="58" t="s">
        <v>75</v>
      </c>
      <c r="AE52" s="35">
        <f t="shared" si="11"/>
        <v>5</v>
      </c>
      <c r="AF52" s="63">
        <f t="shared" si="12"/>
        <v>20</v>
      </c>
      <c r="AG52" s="64">
        <f ca="1" t="shared" si="13"/>
        <v>5</v>
      </c>
      <c r="AH52" s="35">
        <f ca="1" t="shared" si="14"/>
        <v>15</v>
      </c>
      <c r="AI52" s="64">
        <f ca="1" t="shared" si="15"/>
        <v>0</v>
      </c>
      <c r="AJ52" s="35">
        <f ca="1" t="shared" si="16"/>
        <v>0</v>
      </c>
      <c r="AK52" s="35">
        <f t="shared" si="17"/>
        <v>10</v>
      </c>
      <c r="AL52" s="64">
        <f ca="1" t="shared" si="18"/>
        <v>16</v>
      </c>
      <c r="AM52" s="35">
        <f ca="1" t="shared" si="19"/>
        <v>96</v>
      </c>
      <c r="AN52" s="35">
        <f t="shared" si="20"/>
        <v>0</v>
      </c>
      <c r="AO52" s="64">
        <f ca="1" t="shared" si="21"/>
        <v>0</v>
      </c>
      <c r="AP52" s="35">
        <f ca="1" t="shared" si="22"/>
        <v>0</v>
      </c>
      <c r="AQ52" s="35">
        <f t="shared" si="23"/>
        <v>0</v>
      </c>
      <c r="AR52" s="64">
        <f ca="1" t="shared" si="24"/>
        <v>0</v>
      </c>
      <c r="AS52" s="35">
        <f ca="1" t="shared" si="25"/>
        <v>0</v>
      </c>
      <c r="AT52" s="65">
        <f>VLOOKUP(B52,经历时间!A:B,2,FALSE)</f>
        <v>1019.03</v>
      </c>
      <c r="AU52" s="67">
        <f t="shared" si="26"/>
        <v>0</v>
      </c>
      <c r="AV52" s="35">
        <f ca="1" t="shared" si="32"/>
        <v>19</v>
      </c>
      <c r="AW52" s="24">
        <v>0</v>
      </c>
      <c r="AX52" s="35"/>
      <c r="AY52" s="24">
        <f ca="1">IFERROR(VLOOKUP(B52,'兼职+帮忙'!B:AF,28,FALSE),0)</f>
        <v>0</v>
      </c>
      <c r="AZ52" s="35"/>
    </row>
    <row r="53" s="43" customFormat="1" ht="15.6" customHeight="1" spans="1:52">
      <c r="A53" s="73">
        <v>279540</v>
      </c>
      <c r="B53" s="74" t="s">
        <v>134</v>
      </c>
      <c r="C53" s="35" t="str">
        <f>VLOOKUP(B53,'姓名+分部'!A:B,2,FALSE)</f>
        <v>二分部</v>
      </c>
      <c r="D53" s="57" t="s">
        <v>40</v>
      </c>
      <c r="E53" s="58" t="str">
        <f ca="1" t="shared" si="28"/>
        <v>无排名</v>
      </c>
      <c r="F53" s="35" t="str">
        <f ca="1" t="shared" si="0"/>
        <v>继续培训</v>
      </c>
      <c r="G53" s="35" t="str">
        <f t="shared" ref="G53:G116" si="33">IF(N53&gt;0,"不考核",IF(K53&gt;0,"B",IF(I53&gt;0,"A2",IF(I53=0,"学员",NA()))))</f>
        <v>A2</v>
      </c>
      <c r="H53" s="59">
        <f t="shared" si="2"/>
        <v>45532</v>
      </c>
      <c r="I53" s="69">
        <v>45412</v>
      </c>
      <c r="J53" s="35" t="str">
        <f t="shared" si="3"/>
        <v>未完成</v>
      </c>
      <c r="K53" s="59"/>
      <c r="L53" s="58" t="str">
        <f t="shared" si="29"/>
        <v>未完成</v>
      </c>
      <c r="M53" s="58" t="str">
        <f t="shared" si="30"/>
        <v>未完成</v>
      </c>
      <c r="N53" s="35"/>
      <c r="O53" s="58" t="str">
        <f t="shared" si="4"/>
        <v>未完成</v>
      </c>
      <c r="P53" s="58" t="str">
        <f t="shared" si="31"/>
        <v>未完成</v>
      </c>
      <c r="Q53" s="35"/>
      <c r="R53" s="35"/>
      <c r="S53" s="35" t="str">
        <f t="shared" si="5"/>
        <v>未完成</v>
      </c>
      <c r="T53" s="60"/>
      <c r="U53" s="35" t="str">
        <f t="shared" si="6"/>
        <v>未完成</v>
      </c>
      <c r="V53" s="35"/>
      <c r="W53" s="35" t="str">
        <f t="shared" si="7"/>
        <v>未完成</v>
      </c>
      <c r="X53" s="61"/>
      <c r="Y53" s="62">
        <f ca="1" t="shared" si="8"/>
        <v>56</v>
      </c>
      <c r="Z53" s="58" t="s">
        <v>75</v>
      </c>
      <c r="AA53" s="35">
        <f t="shared" si="9"/>
        <v>5</v>
      </c>
      <c r="AB53" s="58" t="s">
        <v>75</v>
      </c>
      <c r="AC53" s="35">
        <f t="shared" si="10"/>
        <v>10</v>
      </c>
      <c r="AD53" s="58" t="s">
        <v>75</v>
      </c>
      <c r="AE53" s="35">
        <f t="shared" si="11"/>
        <v>5</v>
      </c>
      <c r="AF53" s="63">
        <f t="shared" si="12"/>
        <v>0</v>
      </c>
      <c r="AG53" s="64">
        <f ca="1" t="shared" si="13"/>
        <v>0</v>
      </c>
      <c r="AH53" s="35">
        <f ca="1" t="shared" si="14"/>
        <v>0</v>
      </c>
      <c r="AI53" s="64">
        <f ca="1" t="shared" si="15"/>
        <v>0</v>
      </c>
      <c r="AJ53" s="35">
        <f ca="1" t="shared" si="16"/>
        <v>0</v>
      </c>
      <c r="AK53" s="35">
        <f t="shared" si="17"/>
        <v>0</v>
      </c>
      <c r="AL53" s="64">
        <f ca="1" t="shared" si="18"/>
        <v>0</v>
      </c>
      <c r="AM53" s="35">
        <f ca="1" t="shared" si="19"/>
        <v>0</v>
      </c>
      <c r="AN53" s="35">
        <f t="shared" si="20"/>
        <v>0</v>
      </c>
      <c r="AO53" s="64">
        <f ca="1" t="shared" si="21"/>
        <v>0</v>
      </c>
      <c r="AP53" s="35">
        <f ca="1" t="shared" si="22"/>
        <v>0</v>
      </c>
      <c r="AQ53" s="35">
        <f t="shared" si="23"/>
        <v>0</v>
      </c>
      <c r="AR53" s="64">
        <f ca="1" t="shared" si="24"/>
        <v>0</v>
      </c>
      <c r="AS53" s="35">
        <f ca="1" t="shared" si="25"/>
        <v>0</v>
      </c>
      <c r="AT53" s="65">
        <f>VLOOKUP(B53,经历时间!A:B,2,FALSE)</f>
        <v>652.4</v>
      </c>
      <c r="AU53" s="67">
        <f t="shared" si="26"/>
        <v>0</v>
      </c>
      <c r="AV53" s="35">
        <f ca="1" t="shared" si="32"/>
        <v>20</v>
      </c>
      <c r="AW53" s="24">
        <v>36</v>
      </c>
      <c r="AX53" s="35"/>
      <c r="AY53" s="24">
        <f ca="1">IFERROR(VLOOKUP(B53,'兼职+帮忙'!B:AF,28,FALSE),0)</f>
        <v>0</v>
      </c>
      <c r="AZ53" s="35"/>
    </row>
    <row r="54" s="43" customFormat="1" ht="15.6" customHeight="1" spans="1:52">
      <c r="A54" s="34">
        <v>264064</v>
      </c>
      <c r="B54" s="70" t="s">
        <v>135</v>
      </c>
      <c r="C54" s="35" t="str">
        <f>VLOOKUP(B54,'姓名+分部'!A:B,2,FALSE)</f>
        <v>三分部</v>
      </c>
      <c r="D54" s="57" t="s">
        <v>40</v>
      </c>
      <c r="E54" s="58" t="str">
        <f ca="1" t="shared" si="28"/>
        <v>无排名</v>
      </c>
      <c r="F54" s="35" t="str">
        <f ca="1" t="shared" si="0"/>
        <v>继续培训</v>
      </c>
      <c r="G54" s="35" t="str">
        <f t="shared" si="33"/>
        <v>A2</v>
      </c>
      <c r="H54" s="59">
        <f t="shared" si="2"/>
        <v>45624</v>
      </c>
      <c r="I54" s="60">
        <v>45504</v>
      </c>
      <c r="J54" s="35" t="str">
        <f t="shared" si="3"/>
        <v>未完成</v>
      </c>
      <c r="K54" s="35"/>
      <c r="L54" s="58" t="str">
        <f t="shared" si="29"/>
        <v>未完成</v>
      </c>
      <c r="M54" s="58" t="str">
        <f t="shared" si="30"/>
        <v>未完成</v>
      </c>
      <c r="N54" s="35"/>
      <c r="O54" s="58" t="str">
        <f t="shared" si="4"/>
        <v>未完成</v>
      </c>
      <c r="P54" s="58" t="str">
        <f t="shared" si="31"/>
        <v>未完成</v>
      </c>
      <c r="Q54" s="35"/>
      <c r="R54" s="35"/>
      <c r="S54" s="35" t="str">
        <f t="shared" si="5"/>
        <v>未完成</v>
      </c>
      <c r="T54" s="35"/>
      <c r="U54" s="35" t="str">
        <f t="shared" si="6"/>
        <v>未完成</v>
      </c>
      <c r="V54" s="61"/>
      <c r="W54" s="35" t="str">
        <f t="shared" si="7"/>
        <v>未完成</v>
      </c>
      <c r="X54" s="61"/>
      <c r="Y54" s="62">
        <f ca="1" t="shared" si="8"/>
        <v>20</v>
      </c>
      <c r="Z54" s="58" t="s">
        <v>75</v>
      </c>
      <c r="AA54" s="35">
        <f t="shared" si="9"/>
        <v>5</v>
      </c>
      <c r="AB54" s="58" t="s">
        <v>75</v>
      </c>
      <c r="AC54" s="35">
        <f t="shared" si="10"/>
        <v>10</v>
      </c>
      <c r="AD54" s="58" t="s">
        <v>75</v>
      </c>
      <c r="AE54" s="35">
        <f t="shared" si="11"/>
        <v>5</v>
      </c>
      <c r="AF54" s="63">
        <f t="shared" si="12"/>
        <v>0</v>
      </c>
      <c r="AG54" s="64">
        <f ca="1" t="shared" si="13"/>
        <v>0</v>
      </c>
      <c r="AH54" s="35">
        <f ca="1" t="shared" si="14"/>
        <v>0</v>
      </c>
      <c r="AI54" s="64">
        <f ca="1" t="shared" si="15"/>
        <v>0</v>
      </c>
      <c r="AJ54" s="35">
        <f ca="1" t="shared" si="16"/>
        <v>0</v>
      </c>
      <c r="AK54" s="35">
        <f t="shared" si="17"/>
        <v>0</v>
      </c>
      <c r="AL54" s="64">
        <f ca="1" t="shared" si="18"/>
        <v>0</v>
      </c>
      <c r="AM54" s="35">
        <f ca="1" t="shared" si="19"/>
        <v>0</v>
      </c>
      <c r="AN54" s="35">
        <f t="shared" si="20"/>
        <v>0</v>
      </c>
      <c r="AO54" s="64">
        <f ca="1" t="shared" si="21"/>
        <v>0</v>
      </c>
      <c r="AP54" s="35">
        <f ca="1" t="shared" si="22"/>
        <v>0</v>
      </c>
      <c r="AQ54" s="35">
        <f t="shared" si="23"/>
        <v>0</v>
      </c>
      <c r="AR54" s="64">
        <f ca="1" t="shared" si="24"/>
        <v>0</v>
      </c>
      <c r="AS54" s="35">
        <f ca="1" t="shared" si="25"/>
        <v>0</v>
      </c>
      <c r="AT54" s="65">
        <f>VLOOKUP(B54,经历时间!A:B,2,FALSE)</f>
        <v>2120.55</v>
      </c>
      <c r="AU54" s="67">
        <f t="shared" si="26"/>
        <v>0</v>
      </c>
      <c r="AV54" s="35">
        <f ca="1" t="shared" si="32"/>
        <v>17</v>
      </c>
      <c r="AW54" s="24">
        <v>0</v>
      </c>
      <c r="AX54" s="35"/>
      <c r="AY54" s="24">
        <f ca="1">IFERROR(VLOOKUP(B54,'兼职+帮忙'!B:AF,28,FALSE),0)</f>
        <v>0</v>
      </c>
      <c r="AZ54" s="35"/>
    </row>
    <row r="55" s="43" customFormat="1" ht="15.6" customHeight="1" spans="1:52">
      <c r="A55" s="34">
        <v>284046</v>
      </c>
      <c r="B55" s="70" t="s">
        <v>136</v>
      </c>
      <c r="C55" s="35" t="str">
        <f>VLOOKUP(B55,'姓名+分部'!A:B,2,FALSE)</f>
        <v>一分部</v>
      </c>
      <c r="D55" s="57" t="s">
        <v>45</v>
      </c>
      <c r="E55" s="58" t="str">
        <f ca="1" t="shared" si="28"/>
        <v>无排名</v>
      </c>
      <c r="F55" s="35" t="str">
        <f ca="1" t="shared" si="0"/>
        <v>继续培训</v>
      </c>
      <c r="G55" s="35" t="str">
        <f t="shared" si="33"/>
        <v>不考核</v>
      </c>
      <c r="H55" s="59" t="str">
        <f t="shared" si="2"/>
        <v>完成考核</v>
      </c>
      <c r="I55" s="60">
        <v>45385</v>
      </c>
      <c r="J55" s="35">
        <f t="shared" si="3"/>
        <v>10</v>
      </c>
      <c r="K55" s="61">
        <v>45704</v>
      </c>
      <c r="L55" s="58">
        <f t="shared" si="29"/>
        <v>14</v>
      </c>
      <c r="M55" s="58">
        <f t="shared" si="30"/>
        <v>4</v>
      </c>
      <c r="N55" s="61">
        <v>45827</v>
      </c>
      <c r="O55" s="58" t="str">
        <f t="shared" si="4"/>
        <v>未完成</v>
      </c>
      <c r="P55" s="58" t="str">
        <f t="shared" si="31"/>
        <v>未完成</v>
      </c>
      <c r="Q55" s="35"/>
      <c r="R55" s="35"/>
      <c r="S55" s="35" t="str">
        <f t="shared" si="5"/>
        <v>未完成</v>
      </c>
      <c r="T55" s="35"/>
      <c r="U55" s="35">
        <f t="shared" si="6"/>
        <v>14</v>
      </c>
      <c r="V55" s="61">
        <v>45818</v>
      </c>
      <c r="W55" s="35" t="str">
        <f t="shared" si="7"/>
        <v>未完成</v>
      </c>
      <c r="X55" s="61"/>
      <c r="Y55" s="62">
        <f ca="1" t="shared" si="8"/>
        <v>95</v>
      </c>
      <c r="Z55" s="58" t="s">
        <v>75</v>
      </c>
      <c r="AA55" s="35">
        <f t="shared" si="9"/>
        <v>5</v>
      </c>
      <c r="AB55" s="58" t="s">
        <v>75</v>
      </c>
      <c r="AC55" s="35">
        <f t="shared" si="10"/>
        <v>10</v>
      </c>
      <c r="AD55" s="58" t="s">
        <v>75</v>
      </c>
      <c r="AE55" s="35">
        <f t="shared" si="11"/>
        <v>5</v>
      </c>
      <c r="AF55" s="63">
        <f t="shared" si="12"/>
        <v>20</v>
      </c>
      <c r="AG55" s="64">
        <f ca="1" t="shared" si="13"/>
        <v>6</v>
      </c>
      <c r="AH55" s="35">
        <f ca="1" t="shared" si="14"/>
        <v>18</v>
      </c>
      <c r="AI55" s="64">
        <f ca="1" t="shared" si="15"/>
        <v>0</v>
      </c>
      <c r="AJ55" s="35">
        <f ca="1" t="shared" si="16"/>
        <v>0</v>
      </c>
      <c r="AK55" s="35">
        <f t="shared" si="17"/>
        <v>0</v>
      </c>
      <c r="AL55" s="64">
        <f ca="1" t="shared" si="18"/>
        <v>0</v>
      </c>
      <c r="AM55" s="35">
        <f ca="1" t="shared" si="19"/>
        <v>0</v>
      </c>
      <c r="AN55" s="35">
        <f t="shared" si="20"/>
        <v>10</v>
      </c>
      <c r="AO55" s="64">
        <f ca="1" t="shared" si="21"/>
        <v>7</v>
      </c>
      <c r="AP55" s="35">
        <f ca="1" t="shared" si="22"/>
        <v>42</v>
      </c>
      <c r="AQ55" s="35">
        <f t="shared" si="23"/>
        <v>0</v>
      </c>
      <c r="AR55" s="64">
        <f ca="1" t="shared" si="24"/>
        <v>0</v>
      </c>
      <c r="AS55" s="35">
        <f ca="1" t="shared" si="25"/>
        <v>0</v>
      </c>
      <c r="AT55" s="65">
        <f>VLOOKUP(B55,经历时间!A:B,2,FALSE)</f>
        <v>927.13</v>
      </c>
      <c r="AU55" s="67">
        <f t="shared" si="26"/>
        <v>0</v>
      </c>
      <c r="AV55" s="35">
        <f ca="1" t="shared" si="32"/>
        <v>21</v>
      </c>
      <c r="AW55" s="24">
        <v>0</v>
      </c>
      <c r="AX55" s="35"/>
      <c r="AY55" s="24">
        <f ca="1">IFERROR(VLOOKUP(B55,'兼职+帮忙'!B:AF,28,FALSE),0)</f>
        <v>15</v>
      </c>
      <c r="AZ55" s="35"/>
    </row>
    <row r="56" s="43" customFormat="1" ht="15.6" customHeight="1" spans="1:52">
      <c r="A56" s="75">
        <v>275099</v>
      </c>
      <c r="B56" s="75" t="s">
        <v>137</v>
      </c>
      <c r="C56" s="35" t="str">
        <f>VLOOKUP(B56,'姓名+分部'!A:B,2,FALSE)</f>
        <v>三分部</v>
      </c>
      <c r="D56" s="35" t="s">
        <v>42</v>
      </c>
      <c r="E56" s="58" t="str">
        <f ca="1" t="shared" si="28"/>
        <v>无排名</v>
      </c>
      <c r="F56" s="35" t="str">
        <f ca="1" t="shared" si="0"/>
        <v>继续培训</v>
      </c>
      <c r="G56" s="35" t="str">
        <f t="shared" si="33"/>
        <v>B</v>
      </c>
      <c r="H56" s="59">
        <f t="shared" si="2"/>
        <v>45688</v>
      </c>
      <c r="I56" s="60">
        <v>45116</v>
      </c>
      <c r="J56" s="35">
        <f t="shared" si="3"/>
        <v>5</v>
      </c>
      <c r="K56" s="59">
        <v>45298</v>
      </c>
      <c r="L56" s="58" t="str">
        <f t="shared" si="29"/>
        <v>未完成</v>
      </c>
      <c r="M56" s="58" t="str">
        <f t="shared" si="30"/>
        <v>未完成</v>
      </c>
      <c r="N56" s="35"/>
      <c r="O56" s="58" t="str">
        <f t="shared" si="4"/>
        <v>未完成</v>
      </c>
      <c r="P56" s="58" t="str">
        <f t="shared" si="31"/>
        <v>未完成</v>
      </c>
      <c r="Q56" s="35"/>
      <c r="R56" s="35"/>
      <c r="S56" s="35" t="str">
        <f t="shared" si="5"/>
        <v>未完成</v>
      </c>
      <c r="T56" s="35"/>
      <c r="U56" s="35" t="str">
        <f t="shared" si="6"/>
        <v>未完成</v>
      </c>
      <c r="V56" s="61"/>
      <c r="W56" s="35" t="str">
        <f t="shared" si="7"/>
        <v>未完成</v>
      </c>
      <c r="X56" s="61"/>
      <c r="Y56" s="62">
        <f ca="1" t="shared" si="8"/>
        <v>20</v>
      </c>
      <c r="Z56" s="58" t="s">
        <v>75</v>
      </c>
      <c r="AA56" s="35">
        <f t="shared" si="9"/>
        <v>5</v>
      </c>
      <c r="AB56" s="58" t="s">
        <v>75</v>
      </c>
      <c r="AC56" s="35">
        <f t="shared" si="10"/>
        <v>10</v>
      </c>
      <c r="AD56" s="58" t="s">
        <v>75</v>
      </c>
      <c r="AE56" s="35">
        <f t="shared" si="11"/>
        <v>5</v>
      </c>
      <c r="AF56" s="63">
        <f t="shared" si="12"/>
        <v>10</v>
      </c>
      <c r="AG56" s="64">
        <f ca="1" t="shared" si="13"/>
        <v>0</v>
      </c>
      <c r="AH56" s="35">
        <f ca="1" t="shared" si="14"/>
        <v>0</v>
      </c>
      <c r="AI56" s="64">
        <f ca="1" t="shared" si="15"/>
        <v>0</v>
      </c>
      <c r="AJ56" s="35">
        <f ca="1" t="shared" si="16"/>
        <v>0</v>
      </c>
      <c r="AK56" s="35">
        <f t="shared" si="17"/>
        <v>0</v>
      </c>
      <c r="AL56" s="64">
        <f ca="1" t="shared" si="18"/>
        <v>0</v>
      </c>
      <c r="AM56" s="35">
        <f ca="1" t="shared" si="19"/>
        <v>0</v>
      </c>
      <c r="AN56" s="35">
        <f t="shared" si="20"/>
        <v>0</v>
      </c>
      <c r="AO56" s="64">
        <f ca="1" t="shared" si="21"/>
        <v>0</v>
      </c>
      <c r="AP56" s="35">
        <f ca="1" t="shared" si="22"/>
        <v>0</v>
      </c>
      <c r="AQ56" s="35">
        <f t="shared" si="23"/>
        <v>0</v>
      </c>
      <c r="AR56" s="64">
        <f ca="1" t="shared" si="24"/>
        <v>0</v>
      </c>
      <c r="AS56" s="35">
        <f ca="1" t="shared" si="25"/>
        <v>0</v>
      </c>
      <c r="AT56" s="65">
        <f>VLOOKUP(B56,经历时间!A:B,2,FALSE)</f>
        <v>1113.31</v>
      </c>
      <c r="AU56" s="67">
        <f t="shared" si="26"/>
        <v>0</v>
      </c>
      <c r="AV56" s="35">
        <f ca="1" t="shared" si="32"/>
        <v>30</v>
      </c>
      <c r="AW56" s="24">
        <v>0</v>
      </c>
      <c r="AX56" s="35"/>
      <c r="AY56" s="24">
        <f ca="1">IFERROR(VLOOKUP(B56,'兼职+帮忙'!B:AF,28,FALSE),0)</f>
        <v>0</v>
      </c>
      <c r="AZ56" s="35"/>
    </row>
    <row r="57" s="43" customFormat="1" ht="15.6" customHeight="1" spans="1:52">
      <c r="A57" s="73">
        <v>285277</v>
      </c>
      <c r="B57" s="74" t="s">
        <v>138</v>
      </c>
      <c r="C57" s="35" t="str">
        <f>VLOOKUP(B57,'姓名+分部'!A:B,2,FALSE)</f>
        <v>一分部</v>
      </c>
      <c r="D57" s="57" t="s">
        <v>40</v>
      </c>
      <c r="E57" s="58" t="str">
        <f ca="1" t="shared" si="28"/>
        <v>无排名</v>
      </c>
      <c r="F57" s="35" t="str">
        <f ca="1" t="shared" si="0"/>
        <v>继续培训</v>
      </c>
      <c r="G57" s="35" t="str">
        <f t="shared" si="33"/>
        <v>A2</v>
      </c>
      <c r="H57" s="59">
        <f t="shared" si="2"/>
        <v>45830</v>
      </c>
      <c r="I57" s="69">
        <v>45710</v>
      </c>
      <c r="J57" s="35" t="str">
        <f t="shared" si="3"/>
        <v>未完成</v>
      </c>
      <c r="K57" s="59"/>
      <c r="L57" s="58" t="str">
        <f t="shared" si="29"/>
        <v>未完成</v>
      </c>
      <c r="M57" s="58" t="str">
        <f t="shared" si="30"/>
        <v>未完成</v>
      </c>
      <c r="N57" s="35"/>
      <c r="O57" s="58" t="str">
        <f t="shared" si="4"/>
        <v>未完成</v>
      </c>
      <c r="P57" s="58" t="str">
        <f t="shared" si="31"/>
        <v>未完成</v>
      </c>
      <c r="Q57" s="35"/>
      <c r="R57" s="35"/>
      <c r="S57" s="35" t="str">
        <f t="shared" si="5"/>
        <v>未完成</v>
      </c>
      <c r="T57" s="60"/>
      <c r="U57" s="35" t="str">
        <f t="shared" si="6"/>
        <v>未完成</v>
      </c>
      <c r="V57" s="35"/>
      <c r="W57" s="35" t="str">
        <f t="shared" si="7"/>
        <v>未完成</v>
      </c>
      <c r="X57" s="61"/>
      <c r="Y57" s="62">
        <f ca="1" t="shared" si="8"/>
        <v>55</v>
      </c>
      <c r="Z57" s="58" t="s">
        <v>75</v>
      </c>
      <c r="AA57" s="35">
        <f t="shared" si="9"/>
        <v>5</v>
      </c>
      <c r="AB57" s="58" t="s">
        <v>75</v>
      </c>
      <c r="AC57" s="35">
        <f t="shared" si="10"/>
        <v>10</v>
      </c>
      <c r="AD57" s="58" t="s">
        <v>75</v>
      </c>
      <c r="AE57" s="35">
        <f t="shared" si="11"/>
        <v>5</v>
      </c>
      <c r="AF57" s="63">
        <f t="shared" si="12"/>
        <v>0</v>
      </c>
      <c r="AG57" s="64">
        <f ca="1" t="shared" si="13"/>
        <v>0</v>
      </c>
      <c r="AH57" s="35">
        <f ca="1" t="shared" si="14"/>
        <v>0</v>
      </c>
      <c r="AI57" s="64">
        <f ca="1" t="shared" si="15"/>
        <v>0</v>
      </c>
      <c r="AJ57" s="35">
        <f ca="1" t="shared" si="16"/>
        <v>0</v>
      </c>
      <c r="AK57" s="35">
        <f t="shared" si="17"/>
        <v>0</v>
      </c>
      <c r="AL57" s="64">
        <f ca="1" t="shared" si="18"/>
        <v>0</v>
      </c>
      <c r="AM57" s="35">
        <f ca="1" t="shared" si="19"/>
        <v>0</v>
      </c>
      <c r="AN57" s="35">
        <f t="shared" si="20"/>
        <v>0</v>
      </c>
      <c r="AO57" s="64">
        <f ca="1" t="shared" si="21"/>
        <v>0</v>
      </c>
      <c r="AP57" s="35">
        <f ca="1" t="shared" si="22"/>
        <v>0</v>
      </c>
      <c r="AQ57" s="35">
        <f t="shared" si="23"/>
        <v>0</v>
      </c>
      <c r="AR57" s="64">
        <f ca="1" t="shared" si="24"/>
        <v>0</v>
      </c>
      <c r="AS57" s="35">
        <f ca="1" t="shared" si="25"/>
        <v>0</v>
      </c>
      <c r="AT57" s="65">
        <f>VLOOKUP(B57,经历时间!A:B,2,FALSE)</f>
        <v>551.47</v>
      </c>
      <c r="AU57" s="67">
        <f t="shared" si="26"/>
        <v>0</v>
      </c>
      <c r="AV57" s="35">
        <f ca="1" t="shared" si="32"/>
        <v>10</v>
      </c>
      <c r="AW57" s="24">
        <v>35</v>
      </c>
      <c r="AX57" s="35"/>
      <c r="AY57" s="24">
        <f ca="1">IFERROR(VLOOKUP(B57,'兼职+帮忙'!B:AF,28,FALSE),0)</f>
        <v>0</v>
      </c>
      <c r="AZ57" s="35"/>
    </row>
    <row r="58" s="43" customFormat="1" ht="15.6" customHeight="1" spans="1:52">
      <c r="A58" s="34">
        <v>210531</v>
      </c>
      <c r="B58" s="70" t="s">
        <v>139</v>
      </c>
      <c r="C58" s="35" t="str">
        <f>VLOOKUP(B58,'姓名+分部'!A:B,2,FALSE)</f>
        <v>一分部</v>
      </c>
      <c r="D58" s="57" t="s">
        <v>42</v>
      </c>
      <c r="E58" s="58" t="str">
        <f ca="1" t="shared" si="28"/>
        <v>无排名</v>
      </c>
      <c r="F58" s="35" t="str">
        <f ca="1" t="shared" si="0"/>
        <v>继续培训</v>
      </c>
      <c r="G58" s="35" t="str">
        <f t="shared" si="33"/>
        <v>B</v>
      </c>
      <c r="H58" s="59">
        <f t="shared" si="2"/>
        <v>46029</v>
      </c>
      <c r="I58" s="60">
        <v>45385</v>
      </c>
      <c r="J58" s="35">
        <f t="shared" si="3"/>
        <v>8</v>
      </c>
      <c r="K58" s="61">
        <v>45639</v>
      </c>
      <c r="L58" s="58" t="str">
        <f t="shared" si="29"/>
        <v>未完成</v>
      </c>
      <c r="M58" s="58" t="str">
        <f t="shared" si="30"/>
        <v>未完成</v>
      </c>
      <c r="N58" s="61"/>
      <c r="O58" s="58" t="str">
        <f t="shared" si="4"/>
        <v>未完成</v>
      </c>
      <c r="P58" s="58" t="str">
        <f t="shared" si="31"/>
        <v>未完成</v>
      </c>
      <c r="Q58" s="35"/>
      <c r="R58" s="35"/>
      <c r="S58" s="35" t="str">
        <f t="shared" si="5"/>
        <v>未完成</v>
      </c>
      <c r="T58" s="35"/>
      <c r="U58" s="35" t="str">
        <f t="shared" si="6"/>
        <v>未完成</v>
      </c>
      <c r="V58" s="61"/>
      <c r="W58" s="35" t="str">
        <f t="shared" si="7"/>
        <v>未完成</v>
      </c>
      <c r="X58" s="61"/>
      <c r="Y58" s="62">
        <f ca="1" t="shared" si="8"/>
        <v>20</v>
      </c>
      <c r="Z58" s="58" t="s">
        <v>75</v>
      </c>
      <c r="AA58" s="35">
        <f t="shared" si="9"/>
        <v>5</v>
      </c>
      <c r="AB58" s="58" t="s">
        <v>75</v>
      </c>
      <c r="AC58" s="35">
        <f t="shared" si="10"/>
        <v>10</v>
      </c>
      <c r="AD58" s="58" t="s">
        <v>75</v>
      </c>
      <c r="AE58" s="35">
        <f t="shared" si="11"/>
        <v>5</v>
      </c>
      <c r="AF58" s="63">
        <f t="shared" si="12"/>
        <v>10</v>
      </c>
      <c r="AG58" s="64">
        <f ca="1" t="shared" si="13"/>
        <v>0</v>
      </c>
      <c r="AH58" s="35">
        <f ca="1" t="shared" si="14"/>
        <v>0</v>
      </c>
      <c r="AI58" s="64">
        <f ca="1" t="shared" si="15"/>
        <v>0</v>
      </c>
      <c r="AJ58" s="35">
        <f ca="1" t="shared" si="16"/>
        <v>0</v>
      </c>
      <c r="AK58" s="35">
        <f t="shared" si="17"/>
        <v>0</v>
      </c>
      <c r="AL58" s="64">
        <f ca="1" t="shared" si="18"/>
        <v>0</v>
      </c>
      <c r="AM58" s="35">
        <f ca="1" t="shared" si="19"/>
        <v>0</v>
      </c>
      <c r="AN58" s="35">
        <f t="shared" si="20"/>
        <v>0</v>
      </c>
      <c r="AO58" s="64">
        <f ca="1" t="shared" si="21"/>
        <v>0</v>
      </c>
      <c r="AP58" s="35">
        <f ca="1" t="shared" si="22"/>
        <v>0</v>
      </c>
      <c r="AQ58" s="35">
        <f t="shared" si="23"/>
        <v>0</v>
      </c>
      <c r="AR58" s="64">
        <f ca="1" t="shared" si="24"/>
        <v>0</v>
      </c>
      <c r="AS58" s="35">
        <f ca="1" t="shared" si="25"/>
        <v>0</v>
      </c>
      <c r="AT58" s="65">
        <f>VLOOKUP(B58,经历时间!A:B,2,FALSE)</f>
        <v>6280.44</v>
      </c>
      <c r="AU58" s="67">
        <f t="shared" si="26"/>
        <v>0</v>
      </c>
      <c r="AV58" s="35">
        <f ca="1" t="shared" si="32"/>
        <v>21</v>
      </c>
      <c r="AW58" s="24">
        <v>0</v>
      </c>
      <c r="AX58" s="35"/>
      <c r="AY58" s="24">
        <f ca="1">IFERROR(VLOOKUP(B58,'兼职+帮忙'!B:AF,28,FALSE),0)</f>
        <v>0</v>
      </c>
      <c r="AZ58" s="35"/>
    </row>
    <row r="59" s="43" customFormat="1" ht="15.6" customHeight="1" spans="1:52">
      <c r="A59" s="35">
        <v>275021</v>
      </c>
      <c r="B59" s="35" t="s">
        <v>140</v>
      </c>
      <c r="C59" s="35" t="str">
        <f>VLOOKUP(B59,'姓名+分部'!A:B,2,FALSE)</f>
        <v>一分部</v>
      </c>
      <c r="D59" s="57" t="s">
        <v>40</v>
      </c>
      <c r="E59" s="58" t="str">
        <f ca="1" t="shared" si="28"/>
        <v>无排名</v>
      </c>
      <c r="F59" s="35" t="str">
        <f ca="1" t="shared" si="0"/>
        <v>继续培训</v>
      </c>
      <c r="G59" s="35" t="str">
        <f t="shared" si="33"/>
        <v>A2</v>
      </c>
      <c r="H59" s="59">
        <f t="shared" si="2"/>
        <v>45860</v>
      </c>
      <c r="I59" s="69">
        <v>45740</v>
      </c>
      <c r="J59" s="35" t="str">
        <f t="shared" si="3"/>
        <v>未完成</v>
      </c>
      <c r="K59" s="59"/>
      <c r="L59" s="58" t="str">
        <f t="shared" si="29"/>
        <v>未完成</v>
      </c>
      <c r="M59" s="58" t="str">
        <f t="shared" si="30"/>
        <v>未完成</v>
      </c>
      <c r="N59" s="35"/>
      <c r="O59" s="58" t="str">
        <f t="shared" si="4"/>
        <v>未完成</v>
      </c>
      <c r="P59" s="58" t="str">
        <f t="shared" si="31"/>
        <v>未完成</v>
      </c>
      <c r="Q59" s="35"/>
      <c r="R59" s="35"/>
      <c r="S59" s="35" t="str">
        <f t="shared" si="5"/>
        <v>未完成</v>
      </c>
      <c r="T59" s="60"/>
      <c r="U59" s="35" t="str">
        <f t="shared" si="6"/>
        <v>未完成</v>
      </c>
      <c r="V59" s="35"/>
      <c r="W59" s="35" t="str">
        <f t="shared" si="7"/>
        <v>未完成</v>
      </c>
      <c r="X59" s="61"/>
      <c r="Y59" s="62">
        <f ca="1" t="shared" si="8"/>
        <v>33</v>
      </c>
      <c r="Z59" s="58" t="s">
        <v>75</v>
      </c>
      <c r="AA59" s="35">
        <f t="shared" si="9"/>
        <v>5</v>
      </c>
      <c r="AB59" s="58" t="s">
        <v>75</v>
      </c>
      <c r="AC59" s="35">
        <f t="shared" si="10"/>
        <v>10</v>
      </c>
      <c r="AD59" s="58" t="s">
        <v>75</v>
      </c>
      <c r="AE59" s="35">
        <f t="shared" si="11"/>
        <v>5</v>
      </c>
      <c r="AF59" s="63">
        <f t="shared" si="12"/>
        <v>0</v>
      </c>
      <c r="AG59" s="64">
        <f ca="1" t="shared" si="13"/>
        <v>0</v>
      </c>
      <c r="AH59" s="35">
        <f ca="1" t="shared" si="14"/>
        <v>0</v>
      </c>
      <c r="AI59" s="64">
        <f ca="1" t="shared" si="15"/>
        <v>0</v>
      </c>
      <c r="AJ59" s="35">
        <f ca="1" t="shared" si="16"/>
        <v>0</v>
      </c>
      <c r="AK59" s="35">
        <f t="shared" si="17"/>
        <v>0</v>
      </c>
      <c r="AL59" s="64">
        <f ca="1" t="shared" si="18"/>
        <v>0</v>
      </c>
      <c r="AM59" s="35">
        <f ca="1" t="shared" si="19"/>
        <v>0</v>
      </c>
      <c r="AN59" s="35">
        <f t="shared" si="20"/>
        <v>0</v>
      </c>
      <c r="AO59" s="64">
        <f ca="1" t="shared" si="21"/>
        <v>0</v>
      </c>
      <c r="AP59" s="35">
        <f ca="1" t="shared" si="22"/>
        <v>0</v>
      </c>
      <c r="AQ59" s="35">
        <f t="shared" si="23"/>
        <v>0</v>
      </c>
      <c r="AR59" s="64">
        <f ca="1" t="shared" si="24"/>
        <v>0</v>
      </c>
      <c r="AS59" s="35">
        <f ca="1" t="shared" si="25"/>
        <v>0</v>
      </c>
      <c r="AT59" s="65">
        <f>VLOOKUP(B59,经历时间!A:B,2,FALSE)</f>
        <v>859.01</v>
      </c>
      <c r="AU59" s="67">
        <f t="shared" si="26"/>
        <v>0</v>
      </c>
      <c r="AV59" s="35">
        <f ca="1" t="shared" si="32"/>
        <v>9</v>
      </c>
      <c r="AW59" s="24">
        <v>13</v>
      </c>
      <c r="AX59" s="35"/>
      <c r="AY59" s="24">
        <f ca="1">IFERROR(VLOOKUP(B59,'兼职+帮忙'!B:AF,28,FALSE),0)</f>
        <v>0</v>
      </c>
      <c r="AZ59" s="35"/>
    </row>
    <row r="60" s="43" customFormat="1" ht="15.6" customHeight="1" spans="1:52">
      <c r="A60" s="35">
        <v>283735</v>
      </c>
      <c r="B60" s="68" t="s">
        <v>141</v>
      </c>
      <c r="C60" s="35" t="str">
        <f>VLOOKUP(B60,'姓名+分部'!A:B,2,FALSE)</f>
        <v>二分部</v>
      </c>
      <c r="D60" s="57" t="s">
        <v>42</v>
      </c>
      <c r="E60" s="58" t="str">
        <f ca="1" t="shared" si="28"/>
        <v>无排名</v>
      </c>
      <c r="F60" s="35" t="str">
        <f ca="1" t="shared" si="0"/>
        <v>继续培训</v>
      </c>
      <c r="G60" s="35" t="str">
        <f t="shared" si="33"/>
        <v>B</v>
      </c>
      <c r="H60" s="59">
        <f t="shared" si="2"/>
        <v>46032</v>
      </c>
      <c r="I60" s="60">
        <v>45385</v>
      </c>
      <c r="J60" s="35">
        <f t="shared" si="3"/>
        <v>8</v>
      </c>
      <c r="K60" s="61">
        <v>45642</v>
      </c>
      <c r="L60" s="58" t="str">
        <f t="shared" si="29"/>
        <v>未完成</v>
      </c>
      <c r="M60" s="58" t="str">
        <f t="shared" si="30"/>
        <v>未完成</v>
      </c>
      <c r="N60" s="61"/>
      <c r="O60" s="58" t="str">
        <f t="shared" si="4"/>
        <v>未完成</v>
      </c>
      <c r="P60" s="58" t="str">
        <f t="shared" si="31"/>
        <v>未完成</v>
      </c>
      <c r="Q60" s="35"/>
      <c r="R60" s="35"/>
      <c r="S60" s="35" t="str">
        <f t="shared" si="5"/>
        <v>未完成</v>
      </c>
      <c r="T60" s="60"/>
      <c r="U60" s="35" t="str">
        <f t="shared" si="6"/>
        <v>未完成</v>
      </c>
      <c r="V60" s="61"/>
      <c r="W60" s="35" t="str">
        <f t="shared" si="7"/>
        <v>未完成</v>
      </c>
      <c r="X60" s="61"/>
      <c r="Y60" s="62">
        <f ca="1" t="shared" si="8"/>
        <v>20</v>
      </c>
      <c r="Z60" s="58" t="s">
        <v>75</v>
      </c>
      <c r="AA60" s="35">
        <f t="shared" si="9"/>
        <v>5</v>
      </c>
      <c r="AB60" s="58" t="s">
        <v>75</v>
      </c>
      <c r="AC60" s="35">
        <f t="shared" si="10"/>
        <v>10</v>
      </c>
      <c r="AD60" s="58" t="s">
        <v>75</v>
      </c>
      <c r="AE60" s="35">
        <f t="shared" si="11"/>
        <v>5</v>
      </c>
      <c r="AF60" s="63">
        <f t="shared" si="12"/>
        <v>10</v>
      </c>
      <c r="AG60" s="64">
        <f ca="1" t="shared" si="13"/>
        <v>0</v>
      </c>
      <c r="AH60" s="35">
        <f ca="1" t="shared" si="14"/>
        <v>0</v>
      </c>
      <c r="AI60" s="64">
        <f ca="1" t="shared" si="15"/>
        <v>0</v>
      </c>
      <c r="AJ60" s="35">
        <f ca="1" t="shared" si="16"/>
        <v>0</v>
      </c>
      <c r="AK60" s="35">
        <f t="shared" si="17"/>
        <v>0</v>
      </c>
      <c r="AL60" s="64">
        <f ca="1" t="shared" si="18"/>
        <v>0</v>
      </c>
      <c r="AM60" s="35">
        <f ca="1" t="shared" si="19"/>
        <v>0</v>
      </c>
      <c r="AN60" s="35">
        <f t="shared" si="20"/>
        <v>0</v>
      </c>
      <c r="AO60" s="64">
        <f ca="1" t="shared" si="21"/>
        <v>0</v>
      </c>
      <c r="AP60" s="35">
        <f ca="1" t="shared" si="22"/>
        <v>0</v>
      </c>
      <c r="AQ60" s="35">
        <f t="shared" si="23"/>
        <v>0</v>
      </c>
      <c r="AR60" s="64">
        <f ca="1" t="shared" si="24"/>
        <v>0</v>
      </c>
      <c r="AS60" s="35">
        <f ca="1" t="shared" si="25"/>
        <v>0</v>
      </c>
      <c r="AT60" s="65">
        <f>VLOOKUP(B60,经历时间!A:B,2,FALSE)</f>
        <v>1297.3</v>
      </c>
      <c r="AU60" s="67">
        <f t="shared" si="26"/>
        <v>0</v>
      </c>
      <c r="AV60" s="35">
        <f ca="1" t="shared" si="32"/>
        <v>21</v>
      </c>
      <c r="AW60" s="24">
        <v>0</v>
      </c>
      <c r="AX60" s="35"/>
      <c r="AY60" s="24">
        <f ca="1">IFERROR(VLOOKUP(B60,'兼职+帮忙'!B:AF,28,FALSE),0)</f>
        <v>0</v>
      </c>
      <c r="AZ60" s="35"/>
    </row>
    <row r="61" s="43" customFormat="1" ht="15.6" customHeight="1" spans="1:52">
      <c r="A61" s="35">
        <v>279511</v>
      </c>
      <c r="B61" s="68" t="s">
        <v>142</v>
      </c>
      <c r="C61" s="35" t="str">
        <f>VLOOKUP(B61,'姓名+分部'!A:B,2,FALSE)</f>
        <v>二分部</v>
      </c>
      <c r="D61" s="57" t="s">
        <v>45</v>
      </c>
      <c r="E61" s="58" t="str">
        <f ca="1" t="shared" si="28"/>
        <v>无排名</v>
      </c>
      <c r="F61" s="35" t="str">
        <f ca="1" t="shared" si="0"/>
        <v>继续培训</v>
      </c>
      <c r="G61" s="35" t="str">
        <f t="shared" si="33"/>
        <v>不考核</v>
      </c>
      <c r="H61" s="59" t="str">
        <f t="shared" si="2"/>
        <v>完成考核</v>
      </c>
      <c r="I61" s="60">
        <v>45160</v>
      </c>
      <c r="J61" s="35">
        <f t="shared" si="3"/>
        <v>9</v>
      </c>
      <c r="K61" s="61">
        <v>45449</v>
      </c>
      <c r="L61" s="58">
        <f t="shared" si="29"/>
        <v>18</v>
      </c>
      <c r="M61" s="58">
        <f t="shared" si="30"/>
        <v>9</v>
      </c>
      <c r="N61" s="61">
        <v>45734</v>
      </c>
      <c r="O61" s="58" t="str">
        <f t="shared" si="4"/>
        <v>未完成</v>
      </c>
      <c r="P61" s="58" t="str">
        <f t="shared" si="31"/>
        <v>未完成</v>
      </c>
      <c r="Q61" s="35"/>
      <c r="R61" s="35"/>
      <c r="S61" s="35" t="str">
        <f t="shared" si="5"/>
        <v>未完成</v>
      </c>
      <c r="T61" s="60"/>
      <c r="U61" s="35">
        <f t="shared" si="6"/>
        <v>18</v>
      </c>
      <c r="V61" s="61">
        <v>45729</v>
      </c>
      <c r="W61" s="35" t="str">
        <f t="shared" si="7"/>
        <v>未完成</v>
      </c>
      <c r="X61" s="61"/>
      <c r="Y61" s="62">
        <f ca="1" t="shared" si="8"/>
        <v>125</v>
      </c>
      <c r="Z61" s="58" t="s">
        <v>75</v>
      </c>
      <c r="AA61" s="35">
        <f t="shared" si="9"/>
        <v>5</v>
      </c>
      <c r="AB61" s="35" t="s">
        <v>75</v>
      </c>
      <c r="AC61" s="35">
        <f t="shared" si="10"/>
        <v>10</v>
      </c>
      <c r="AD61" s="35" t="s">
        <v>75</v>
      </c>
      <c r="AE61" s="35">
        <f t="shared" si="11"/>
        <v>5</v>
      </c>
      <c r="AF61" s="63">
        <f t="shared" si="12"/>
        <v>20</v>
      </c>
      <c r="AG61" s="64">
        <f ca="1" t="shared" si="13"/>
        <v>9</v>
      </c>
      <c r="AH61" s="35">
        <f ca="1" t="shared" si="14"/>
        <v>27</v>
      </c>
      <c r="AI61" s="64">
        <f ca="1" t="shared" si="15"/>
        <v>0</v>
      </c>
      <c r="AJ61" s="35">
        <f ca="1" t="shared" si="16"/>
        <v>0</v>
      </c>
      <c r="AK61" s="35">
        <f t="shared" si="17"/>
        <v>0</v>
      </c>
      <c r="AL61" s="64">
        <f ca="1" t="shared" si="18"/>
        <v>0</v>
      </c>
      <c r="AM61" s="35">
        <f ca="1" t="shared" si="19"/>
        <v>0</v>
      </c>
      <c r="AN61" s="35">
        <f t="shared" si="20"/>
        <v>10</v>
      </c>
      <c r="AO61" s="64">
        <f ca="1" t="shared" si="21"/>
        <v>10</v>
      </c>
      <c r="AP61" s="35">
        <f ca="1" t="shared" si="22"/>
        <v>60</v>
      </c>
      <c r="AQ61" s="35">
        <f t="shared" si="23"/>
        <v>0</v>
      </c>
      <c r="AR61" s="64">
        <f ca="1" t="shared" si="24"/>
        <v>0</v>
      </c>
      <c r="AS61" s="35">
        <f ca="1" t="shared" si="25"/>
        <v>0</v>
      </c>
      <c r="AT61" s="65">
        <f>VLOOKUP(B61,经历时间!A:B,2,FALSE)</f>
        <v>1160.43</v>
      </c>
      <c r="AU61" s="67">
        <f t="shared" si="26"/>
        <v>0</v>
      </c>
      <c r="AV61" s="35">
        <f ca="1" t="shared" si="32"/>
        <v>28</v>
      </c>
      <c r="AW61" s="24">
        <v>4</v>
      </c>
      <c r="AX61" s="35">
        <v>-5</v>
      </c>
      <c r="AY61" s="24">
        <f ca="1">IFERROR(VLOOKUP(B61,'兼职+帮忙'!B:AF,28,FALSE),0)</f>
        <v>19</v>
      </c>
      <c r="AZ61" s="35"/>
    </row>
    <row r="62" s="43" customFormat="1" ht="15.6" customHeight="1" spans="1:52">
      <c r="A62" s="34">
        <v>273421</v>
      </c>
      <c r="B62" s="70" t="s">
        <v>143</v>
      </c>
      <c r="C62" s="35" t="str">
        <f>VLOOKUP(B62,'姓名+分部'!A:B,2,FALSE)</f>
        <v>一分部</v>
      </c>
      <c r="D62" s="57" t="s">
        <v>42</v>
      </c>
      <c r="E62" s="58" t="str">
        <f ca="1" t="shared" si="28"/>
        <v>无排名</v>
      </c>
      <c r="F62" s="35" t="str">
        <f ca="1" t="shared" si="0"/>
        <v>继续培训</v>
      </c>
      <c r="G62" s="35" t="str">
        <f t="shared" si="33"/>
        <v>B</v>
      </c>
      <c r="H62" s="59">
        <f t="shared" si="2"/>
        <v>46104</v>
      </c>
      <c r="I62" s="60">
        <v>45419</v>
      </c>
      <c r="J62" s="35">
        <f t="shared" si="3"/>
        <v>9</v>
      </c>
      <c r="K62" s="61">
        <v>45714</v>
      </c>
      <c r="L62" s="58" t="str">
        <f t="shared" si="29"/>
        <v>未完成</v>
      </c>
      <c r="M62" s="58" t="str">
        <f t="shared" si="30"/>
        <v>未完成</v>
      </c>
      <c r="N62" s="61"/>
      <c r="O62" s="58" t="str">
        <f t="shared" si="4"/>
        <v>未完成</v>
      </c>
      <c r="P62" s="58" t="str">
        <f t="shared" si="31"/>
        <v>未完成</v>
      </c>
      <c r="Q62" s="35"/>
      <c r="R62" s="35"/>
      <c r="S62" s="35" t="str">
        <f t="shared" si="5"/>
        <v>未完成</v>
      </c>
      <c r="T62" s="35"/>
      <c r="U62" s="35" t="str">
        <f t="shared" si="6"/>
        <v>未完成</v>
      </c>
      <c r="V62" s="61"/>
      <c r="W62" s="35" t="str">
        <f t="shared" si="7"/>
        <v>未完成</v>
      </c>
      <c r="X62" s="61"/>
      <c r="Y62" s="62">
        <f ca="1" t="shared" si="8"/>
        <v>20</v>
      </c>
      <c r="Z62" s="58" t="s">
        <v>75</v>
      </c>
      <c r="AA62" s="35">
        <f t="shared" si="9"/>
        <v>5</v>
      </c>
      <c r="AB62" s="58" t="s">
        <v>75</v>
      </c>
      <c r="AC62" s="35">
        <f t="shared" si="10"/>
        <v>10</v>
      </c>
      <c r="AD62" s="58" t="s">
        <v>75</v>
      </c>
      <c r="AE62" s="35">
        <f t="shared" si="11"/>
        <v>5</v>
      </c>
      <c r="AF62" s="63">
        <f t="shared" si="12"/>
        <v>10</v>
      </c>
      <c r="AG62" s="64">
        <f ca="1" t="shared" si="13"/>
        <v>0</v>
      </c>
      <c r="AH62" s="35">
        <f ca="1" t="shared" si="14"/>
        <v>0</v>
      </c>
      <c r="AI62" s="64">
        <f ca="1" t="shared" si="15"/>
        <v>0</v>
      </c>
      <c r="AJ62" s="35">
        <f ca="1" t="shared" si="16"/>
        <v>0</v>
      </c>
      <c r="AK62" s="35">
        <f t="shared" si="17"/>
        <v>0</v>
      </c>
      <c r="AL62" s="64">
        <f ca="1" t="shared" si="18"/>
        <v>0</v>
      </c>
      <c r="AM62" s="35">
        <f ca="1" t="shared" si="19"/>
        <v>0</v>
      </c>
      <c r="AN62" s="35">
        <f t="shared" si="20"/>
        <v>0</v>
      </c>
      <c r="AO62" s="64">
        <f ca="1" t="shared" si="21"/>
        <v>0</v>
      </c>
      <c r="AP62" s="35">
        <f ca="1" t="shared" si="22"/>
        <v>0</v>
      </c>
      <c r="AQ62" s="35">
        <f t="shared" si="23"/>
        <v>0</v>
      </c>
      <c r="AR62" s="64">
        <f ca="1" t="shared" si="24"/>
        <v>0</v>
      </c>
      <c r="AS62" s="35">
        <f ca="1" t="shared" si="25"/>
        <v>0</v>
      </c>
      <c r="AT62" s="65">
        <f>VLOOKUP(B62,经历时间!A:B,2,FALSE)</f>
        <v>1716.51</v>
      </c>
      <c r="AU62" s="67">
        <f t="shared" si="26"/>
        <v>0</v>
      </c>
      <c r="AV62" s="35">
        <f ca="1" t="shared" si="32"/>
        <v>20</v>
      </c>
      <c r="AW62" s="24">
        <v>0</v>
      </c>
      <c r="AX62" s="35"/>
      <c r="AY62" s="24">
        <f ca="1">IFERROR(VLOOKUP(B62,'兼职+帮忙'!B:AF,28,FALSE),0)</f>
        <v>0</v>
      </c>
      <c r="AZ62" s="35"/>
    </row>
    <row r="63" s="43" customFormat="1" ht="15.6" customHeight="1" spans="1:52">
      <c r="A63" s="73">
        <v>278087</v>
      </c>
      <c r="B63" s="74" t="s">
        <v>144</v>
      </c>
      <c r="C63" s="35" t="str">
        <f>VLOOKUP(B63,'姓名+分部'!A:B,2,FALSE)</f>
        <v>三分部</v>
      </c>
      <c r="D63" s="57" t="s">
        <v>40</v>
      </c>
      <c r="E63" s="58" t="str">
        <f ca="1" t="shared" si="28"/>
        <v>无排名</v>
      </c>
      <c r="F63" s="35" t="str">
        <f ca="1" t="shared" si="0"/>
        <v>继续培训</v>
      </c>
      <c r="G63" s="35" t="str">
        <f t="shared" si="33"/>
        <v>A2</v>
      </c>
      <c r="H63" s="59">
        <f t="shared" si="2"/>
        <v>45830</v>
      </c>
      <c r="I63" s="69">
        <v>45710</v>
      </c>
      <c r="J63" s="35" t="str">
        <f t="shared" si="3"/>
        <v>未完成</v>
      </c>
      <c r="K63" s="59"/>
      <c r="L63" s="58" t="str">
        <f t="shared" si="29"/>
        <v>未完成</v>
      </c>
      <c r="M63" s="58" t="str">
        <f t="shared" si="30"/>
        <v>未完成</v>
      </c>
      <c r="N63" s="35"/>
      <c r="O63" s="58" t="str">
        <f t="shared" si="4"/>
        <v>未完成</v>
      </c>
      <c r="P63" s="58" t="str">
        <f t="shared" si="31"/>
        <v>未完成</v>
      </c>
      <c r="Q63" s="35"/>
      <c r="R63" s="35"/>
      <c r="S63" s="35" t="str">
        <f t="shared" si="5"/>
        <v>未完成</v>
      </c>
      <c r="T63" s="60"/>
      <c r="U63" s="35" t="str">
        <f t="shared" si="6"/>
        <v>未完成</v>
      </c>
      <c r="V63" s="35"/>
      <c r="W63" s="35" t="str">
        <f t="shared" si="7"/>
        <v>未完成</v>
      </c>
      <c r="X63" s="61"/>
      <c r="Y63" s="62">
        <f ca="1" t="shared" si="8"/>
        <v>54</v>
      </c>
      <c r="Z63" s="58" t="s">
        <v>75</v>
      </c>
      <c r="AA63" s="35">
        <f t="shared" si="9"/>
        <v>5</v>
      </c>
      <c r="AB63" s="58" t="s">
        <v>75</v>
      </c>
      <c r="AC63" s="35">
        <f t="shared" si="10"/>
        <v>10</v>
      </c>
      <c r="AD63" s="58" t="s">
        <v>75</v>
      </c>
      <c r="AE63" s="35">
        <f t="shared" si="11"/>
        <v>5</v>
      </c>
      <c r="AF63" s="63">
        <f t="shared" si="12"/>
        <v>0</v>
      </c>
      <c r="AG63" s="64">
        <f ca="1" t="shared" si="13"/>
        <v>0</v>
      </c>
      <c r="AH63" s="35">
        <f ca="1" t="shared" si="14"/>
        <v>0</v>
      </c>
      <c r="AI63" s="64">
        <f ca="1" t="shared" si="15"/>
        <v>0</v>
      </c>
      <c r="AJ63" s="35">
        <f ca="1" t="shared" si="16"/>
        <v>0</v>
      </c>
      <c r="AK63" s="35">
        <f t="shared" si="17"/>
        <v>0</v>
      </c>
      <c r="AL63" s="64">
        <f ca="1" t="shared" si="18"/>
        <v>0</v>
      </c>
      <c r="AM63" s="35">
        <f ca="1" t="shared" si="19"/>
        <v>0</v>
      </c>
      <c r="AN63" s="35">
        <f t="shared" si="20"/>
        <v>0</v>
      </c>
      <c r="AO63" s="64">
        <f ca="1" t="shared" si="21"/>
        <v>0</v>
      </c>
      <c r="AP63" s="35">
        <f ca="1" t="shared" si="22"/>
        <v>0</v>
      </c>
      <c r="AQ63" s="35">
        <f t="shared" si="23"/>
        <v>0</v>
      </c>
      <c r="AR63" s="64">
        <f ca="1" t="shared" si="24"/>
        <v>0</v>
      </c>
      <c r="AS63" s="35">
        <f ca="1" t="shared" si="25"/>
        <v>0</v>
      </c>
      <c r="AT63" s="65">
        <f>VLOOKUP(B63,经历时间!A:B,2,FALSE)</f>
        <v>797.23</v>
      </c>
      <c r="AU63" s="67">
        <f t="shared" si="26"/>
        <v>0</v>
      </c>
      <c r="AV63" s="35">
        <f ca="1" t="shared" si="32"/>
        <v>10</v>
      </c>
      <c r="AW63" s="24">
        <v>34</v>
      </c>
      <c r="AX63" s="35"/>
      <c r="AY63" s="24">
        <f ca="1">IFERROR(VLOOKUP(B63,'兼职+帮忙'!B:AF,28,FALSE),0)</f>
        <v>0</v>
      </c>
      <c r="AZ63" s="35"/>
    </row>
    <row r="64" s="43" customFormat="1" ht="15.6" customHeight="1" spans="1:52">
      <c r="A64" s="73">
        <v>279543</v>
      </c>
      <c r="B64" s="74" t="s">
        <v>145</v>
      </c>
      <c r="C64" s="35" t="str">
        <f>VLOOKUP(B64,'姓名+分部'!A:B,2,FALSE)</f>
        <v>二分部</v>
      </c>
      <c r="D64" s="57" t="s">
        <v>42</v>
      </c>
      <c r="E64" s="58" t="str">
        <f ca="1" t="shared" si="28"/>
        <v>无排名</v>
      </c>
      <c r="F64" s="35" t="str">
        <f ca="1" t="shared" si="0"/>
        <v>继续培训</v>
      </c>
      <c r="G64" s="35" t="str">
        <f t="shared" si="33"/>
        <v>B</v>
      </c>
      <c r="H64" s="59">
        <f t="shared" si="2"/>
        <v>45973</v>
      </c>
      <c r="I64" s="69">
        <v>45412</v>
      </c>
      <c r="J64" s="35">
        <f t="shared" si="3"/>
        <v>5</v>
      </c>
      <c r="K64" s="59">
        <v>45583</v>
      </c>
      <c r="L64" s="58" t="str">
        <f t="shared" si="29"/>
        <v>未完成</v>
      </c>
      <c r="M64" s="58" t="str">
        <f t="shared" si="30"/>
        <v>未完成</v>
      </c>
      <c r="N64" s="35"/>
      <c r="O64" s="58" t="str">
        <f t="shared" si="4"/>
        <v>未完成</v>
      </c>
      <c r="P64" s="58" t="str">
        <f t="shared" si="31"/>
        <v>未完成</v>
      </c>
      <c r="Q64" s="35"/>
      <c r="R64" s="35"/>
      <c r="S64" s="35" t="str">
        <f t="shared" si="5"/>
        <v>未完成</v>
      </c>
      <c r="T64" s="60"/>
      <c r="U64" s="35" t="str">
        <f t="shared" si="6"/>
        <v>未完成</v>
      </c>
      <c r="V64" s="35"/>
      <c r="W64" s="35" t="str">
        <f t="shared" si="7"/>
        <v>未完成</v>
      </c>
      <c r="X64" s="61"/>
      <c r="Y64" s="62">
        <f ca="1" t="shared" si="8"/>
        <v>49</v>
      </c>
      <c r="Z64" s="58" t="s">
        <v>75</v>
      </c>
      <c r="AA64" s="35">
        <f t="shared" si="9"/>
        <v>5</v>
      </c>
      <c r="AB64" s="58" t="s">
        <v>75</v>
      </c>
      <c r="AC64" s="35">
        <f t="shared" si="10"/>
        <v>10</v>
      </c>
      <c r="AD64" s="58" t="s">
        <v>75</v>
      </c>
      <c r="AE64" s="35">
        <f t="shared" si="11"/>
        <v>5</v>
      </c>
      <c r="AF64" s="63">
        <f t="shared" si="12"/>
        <v>10</v>
      </c>
      <c r="AG64" s="64">
        <f ca="1" t="shared" si="13"/>
        <v>0</v>
      </c>
      <c r="AH64" s="35">
        <f ca="1" t="shared" si="14"/>
        <v>0</v>
      </c>
      <c r="AI64" s="64">
        <f ca="1" t="shared" si="15"/>
        <v>0</v>
      </c>
      <c r="AJ64" s="35">
        <f ca="1" t="shared" si="16"/>
        <v>0</v>
      </c>
      <c r="AK64" s="35">
        <f t="shared" si="17"/>
        <v>0</v>
      </c>
      <c r="AL64" s="64">
        <f ca="1" t="shared" si="18"/>
        <v>0</v>
      </c>
      <c r="AM64" s="35">
        <f ca="1" t="shared" si="19"/>
        <v>0</v>
      </c>
      <c r="AN64" s="35">
        <f t="shared" si="20"/>
        <v>0</v>
      </c>
      <c r="AO64" s="64">
        <f ca="1" t="shared" si="21"/>
        <v>0</v>
      </c>
      <c r="AP64" s="35">
        <f ca="1" t="shared" si="22"/>
        <v>0</v>
      </c>
      <c r="AQ64" s="35">
        <f t="shared" si="23"/>
        <v>0</v>
      </c>
      <c r="AR64" s="64">
        <f ca="1" t="shared" si="24"/>
        <v>0</v>
      </c>
      <c r="AS64" s="35">
        <f ca="1" t="shared" si="25"/>
        <v>0</v>
      </c>
      <c r="AT64" s="65">
        <f>VLOOKUP(B64,经历时间!A:B,2,FALSE)</f>
        <v>821.19</v>
      </c>
      <c r="AU64" s="67">
        <f t="shared" si="26"/>
        <v>0</v>
      </c>
      <c r="AV64" s="35">
        <f ca="1" t="shared" si="32"/>
        <v>20</v>
      </c>
      <c r="AW64" s="24">
        <v>29</v>
      </c>
      <c r="AX64" s="35"/>
      <c r="AY64" s="24">
        <f ca="1">IFERROR(VLOOKUP(B64,'兼职+帮忙'!B:AF,28,FALSE),0)</f>
        <v>0</v>
      </c>
      <c r="AZ64" s="35"/>
    </row>
    <row r="65" s="43" customFormat="1" ht="15.6" customHeight="1" spans="1:52">
      <c r="A65" s="34">
        <v>291033</v>
      </c>
      <c r="B65" s="70" t="s">
        <v>146</v>
      </c>
      <c r="C65" s="35" t="str">
        <f>VLOOKUP(B65,'姓名+分部'!A:B,2,FALSE)</f>
        <v>二分部</v>
      </c>
      <c r="D65" s="57" t="s">
        <v>40</v>
      </c>
      <c r="E65" s="58" t="str">
        <f ca="1" t="shared" si="28"/>
        <v>无排名</v>
      </c>
      <c r="F65" s="35" t="str">
        <f ca="1" t="shared" si="0"/>
        <v>继续培训</v>
      </c>
      <c r="G65" s="35" t="str">
        <f t="shared" si="33"/>
        <v>A2</v>
      </c>
      <c r="H65" s="59">
        <f t="shared" si="2"/>
        <v>45925</v>
      </c>
      <c r="I65" s="69">
        <v>45805</v>
      </c>
      <c r="J65" s="35" t="str">
        <f t="shared" si="3"/>
        <v>未完成</v>
      </c>
      <c r="K65" s="59"/>
      <c r="L65" s="58" t="str">
        <f t="shared" si="29"/>
        <v>未完成</v>
      </c>
      <c r="M65" s="58" t="str">
        <f t="shared" si="30"/>
        <v>未完成</v>
      </c>
      <c r="N65" s="35"/>
      <c r="O65" s="58" t="str">
        <f t="shared" si="4"/>
        <v>未完成</v>
      </c>
      <c r="P65" s="58" t="str">
        <f t="shared" si="31"/>
        <v>未完成</v>
      </c>
      <c r="Q65" s="35"/>
      <c r="R65" s="35"/>
      <c r="S65" s="35" t="str">
        <f t="shared" si="5"/>
        <v>未完成</v>
      </c>
      <c r="T65" s="60"/>
      <c r="U65" s="35" t="str">
        <f t="shared" si="6"/>
        <v>未完成</v>
      </c>
      <c r="V65" s="35"/>
      <c r="W65" s="35" t="str">
        <f t="shared" si="7"/>
        <v>未完成</v>
      </c>
      <c r="X65" s="61"/>
      <c r="Y65" s="62">
        <f ca="1" t="shared" si="8"/>
        <v>59</v>
      </c>
      <c r="Z65" s="58" t="s">
        <v>75</v>
      </c>
      <c r="AA65" s="35">
        <f t="shared" si="9"/>
        <v>5</v>
      </c>
      <c r="AB65" s="58" t="s">
        <v>75</v>
      </c>
      <c r="AC65" s="35">
        <f t="shared" si="10"/>
        <v>10</v>
      </c>
      <c r="AD65" s="58" t="s">
        <v>75</v>
      </c>
      <c r="AE65" s="35">
        <f t="shared" si="11"/>
        <v>5</v>
      </c>
      <c r="AF65" s="63">
        <f t="shared" si="12"/>
        <v>0</v>
      </c>
      <c r="AG65" s="64">
        <f ca="1" t="shared" si="13"/>
        <v>0</v>
      </c>
      <c r="AH65" s="35">
        <f ca="1" t="shared" si="14"/>
        <v>0</v>
      </c>
      <c r="AI65" s="64">
        <f ca="1" t="shared" si="15"/>
        <v>0</v>
      </c>
      <c r="AJ65" s="35">
        <f ca="1" t="shared" si="16"/>
        <v>0</v>
      </c>
      <c r="AK65" s="35">
        <f t="shared" si="17"/>
        <v>0</v>
      </c>
      <c r="AL65" s="64">
        <f ca="1" t="shared" si="18"/>
        <v>0</v>
      </c>
      <c r="AM65" s="35">
        <f ca="1" t="shared" si="19"/>
        <v>0</v>
      </c>
      <c r="AN65" s="35">
        <f t="shared" si="20"/>
        <v>0</v>
      </c>
      <c r="AO65" s="64">
        <f ca="1" t="shared" si="21"/>
        <v>0</v>
      </c>
      <c r="AP65" s="35">
        <f ca="1" t="shared" si="22"/>
        <v>0</v>
      </c>
      <c r="AQ65" s="35">
        <f t="shared" si="23"/>
        <v>0</v>
      </c>
      <c r="AR65" s="64">
        <f ca="1" t="shared" si="24"/>
        <v>0</v>
      </c>
      <c r="AS65" s="35">
        <f ca="1" t="shared" si="25"/>
        <v>0</v>
      </c>
      <c r="AT65" s="65">
        <f>VLOOKUP(B65,经历时间!A:B,2,FALSE)</f>
        <v>759.58</v>
      </c>
      <c r="AU65" s="67">
        <f t="shared" si="26"/>
        <v>0</v>
      </c>
      <c r="AV65" s="35">
        <f ca="1" t="shared" si="32"/>
        <v>7</v>
      </c>
      <c r="AW65" s="24">
        <v>39</v>
      </c>
      <c r="AX65" s="35"/>
      <c r="AY65" s="24">
        <f ca="1">IFERROR(VLOOKUP(B65,'兼职+帮忙'!B:AF,28,FALSE),0)</f>
        <v>0</v>
      </c>
      <c r="AZ65" s="35"/>
    </row>
    <row r="66" s="43" customFormat="1" ht="15.6" customHeight="1" spans="1:52">
      <c r="A66" s="73">
        <v>282669</v>
      </c>
      <c r="B66" s="74" t="s">
        <v>147</v>
      </c>
      <c r="C66" s="35" t="str">
        <f>VLOOKUP(B66,'姓名+分部'!A:B,2,FALSE)</f>
        <v>一分部</v>
      </c>
      <c r="D66" s="57" t="s">
        <v>40</v>
      </c>
      <c r="E66" s="58" t="str">
        <f ca="1" t="shared" ref="E66:E129" si="34">IF(Q66&gt;0,RANK(Y66,Y$2:Y$133),"无排名")</f>
        <v>无排名</v>
      </c>
      <c r="F66" s="35" t="str">
        <f ca="1" t="shared" ref="F66:F129" si="35">IF(AND(Y66&gt;1000,Q66&gt;0,T66&gt;0,V66&gt;0,AV66&gt;48,AI66&gt;3),"可流转","继续培训")</f>
        <v>继续培训</v>
      </c>
      <c r="G66" s="35" t="str">
        <f t="shared" si="33"/>
        <v>A2</v>
      </c>
      <c r="H66" s="59">
        <f t="shared" ref="H66:H129" si="36">_xlfn.IFS(N66&gt;0,"完成考核",K66&gt;0,K66+390,I66&gt;0,I66+120)</f>
        <v>45564</v>
      </c>
      <c r="I66" s="69">
        <v>45444</v>
      </c>
      <c r="J66" s="35" t="str">
        <f t="shared" ref="J66:J129" si="37">IF($I66&gt;0,IF(K66&gt;0,DATEDIF(I66,K66,"m"),"未完成"),"学员")</f>
        <v>未完成</v>
      </c>
      <c r="K66" s="59"/>
      <c r="L66" s="58" t="str">
        <f t="shared" ref="L66:L129" si="38">IF($I66&gt;0,IF(N66&gt;0,DATEDIF(I66,N66,"m"),"未完成"),"学员")</f>
        <v>未完成</v>
      </c>
      <c r="M66" s="58" t="str">
        <f t="shared" ref="M66:M129" si="39">IF($I66&gt;0,IF(N66&gt;0,DATEDIF(K66,N66,"m"),"未完成"),"学员")</f>
        <v>未完成</v>
      </c>
      <c r="N66" s="35"/>
      <c r="O66" s="58" t="str">
        <f t="shared" ref="O66:O129" si="40">IF($I66&gt;0,IF(Q66&gt;0,DATEDIF(I66,Q66,"m"),"未完成"),"学员")</f>
        <v>未完成</v>
      </c>
      <c r="P66" s="58" t="str">
        <f t="shared" ref="P66:P129" si="41">IF($I66&gt;0,IF(Q66&gt;0,DATEDIF(N66,Q66,"m"),"未完成"),"学员")</f>
        <v>未完成</v>
      </c>
      <c r="Q66" s="35"/>
      <c r="R66" s="35"/>
      <c r="S66" s="35" t="str">
        <f t="shared" ref="S66:S129" si="42">IF($I66&gt;0,IF(T66&gt;0,DATEDIF(I66,T66,"m"),"未完成"),"学员")</f>
        <v>未完成</v>
      </c>
      <c r="T66" s="60"/>
      <c r="U66" s="35" t="str">
        <f t="shared" ref="U66:U129" si="43">IF($I66&gt;0,IF(V66&gt;0,DATEDIF(I66,V66,"m"),"未完成"),"学员")</f>
        <v>未完成</v>
      </c>
      <c r="V66" s="35"/>
      <c r="W66" s="35" t="str">
        <f t="shared" ref="W66:W129" si="44">IF($I66&gt;0,IF(X66&gt;0,DATEDIF(I66,X66,"m"),"未完成"),"学员")</f>
        <v>未完成</v>
      </c>
      <c r="X66" s="61"/>
      <c r="Y66" s="62">
        <f ca="1" t="shared" ref="Y66:Y129" si="45">AA66+AC66+AE66+AH66+AJ66+AM66+AP66+AS66+AW66+AX66+AY66+AU66</f>
        <v>50</v>
      </c>
      <c r="Z66" s="58" t="s">
        <v>75</v>
      </c>
      <c r="AA66" s="35">
        <f t="shared" ref="AA66:AA129" si="46">IF(Z66="是",5,0)</f>
        <v>5</v>
      </c>
      <c r="AB66" s="58" t="s">
        <v>75</v>
      </c>
      <c r="AC66" s="35">
        <f t="shared" ref="AC66:AC129" si="47">IF(AB66="是",10,0)</f>
        <v>10</v>
      </c>
      <c r="AD66" s="58" t="s">
        <v>75</v>
      </c>
      <c r="AE66" s="35">
        <f t="shared" ref="AE66:AE129" si="48">IF(AD66="是",5,0)</f>
        <v>5</v>
      </c>
      <c r="AF66" s="63">
        <f t="shared" ref="AF66:AF129" si="49">COUNTA(K66,N66,Q66,R66)*10</f>
        <v>0</v>
      </c>
      <c r="AG66" s="64">
        <f ca="1" t="shared" ref="AG66:AG129" si="50">IF(N66&gt;0,DATEDIF(N66,TODAY(),"m"),0)</f>
        <v>0</v>
      </c>
      <c r="AH66" s="35">
        <f ca="1" t="shared" ref="AH66:AH129" si="51">AG66*3</f>
        <v>0</v>
      </c>
      <c r="AI66" s="64">
        <f ca="1" t="shared" ref="AI66:AI129" si="52">IF(Q66&gt;0,DATEDIF(Q66,TODAY(),"m"),0)</f>
        <v>0</v>
      </c>
      <c r="AJ66" s="35">
        <f ca="1" t="shared" ref="AJ66:AJ129" si="53">AI66*6</f>
        <v>0</v>
      </c>
      <c r="AK66" s="35">
        <f t="shared" ref="AK66:AK129" si="54">IF(T66&gt;0,10,0)</f>
        <v>0</v>
      </c>
      <c r="AL66" s="64">
        <f ca="1" t="shared" ref="AL66:AL129" si="55">IF(T66&gt;0,DATEDIF(T66,TODAY(),"m"),0)</f>
        <v>0</v>
      </c>
      <c r="AM66" s="35">
        <f ca="1" t="shared" ref="AM66:AM129" si="56">AL66*6</f>
        <v>0</v>
      </c>
      <c r="AN66" s="35">
        <f t="shared" ref="AN66:AN129" si="57">IF(V66&gt;0,10,0)</f>
        <v>0</v>
      </c>
      <c r="AO66" s="64">
        <f ca="1" t="shared" ref="AO66:AO129" si="58">IF(V66&gt;0,DATEDIF(V66,TODAY(),"m"),0)</f>
        <v>0</v>
      </c>
      <c r="AP66" s="35">
        <f ca="1" t="shared" ref="AP66:AP129" si="59">AO66*6</f>
        <v>0</v>
      </c>
      <c r="AQ66" s="35">
        <f t="shared" ref="AQ66:AQ129" si="60">IF(X66&gt;0,10,0)</f>
        <v>0</v>
      </c>
      <c r="AR66" s="64">
        <f ca="1" t="shared" ref="AR66:AR129" si="61">IF(X66&gt;0,DATEDIF(X66,TODAY(),"m"),0)</f>
        <v>0</v>
      </c>
      <c r="AS66" s="35">
        <f ca="1" t="shared" ref="AS66:AS129" si="62">AR66*6</f>
        <v>0</v>
      </c>
      <c r="AT66" s="65">
        <f>VLOOKUP(B66,经历时间!A:B,2,FALSE)</f>
        <v>679.33</v>
      </c>
      <c r="AU66" s="67">
        <f t="shared" ref="AU66:AU129" si="63">IF(Q66&gt;0,AT66*0.1,0)</f>
        <v>0</v>
      </c>
      <c r="AV66" s="35">
        <f ca="1" t="shared" si="32"/>
        <v>19</v>
      </c>
      <c r="AW66" s="24">
        <v>30</v>
      </c>
      <c r="AX66" s="35"/>
      <c r="AY66" s="24">
        <f ca="1">IFERROR(VLOOKUP(B66,'兼职+帮忙'!B:AF,28,FALSE),0)</f>
        <v>0</v>
      </c>
      <c r="AZ66" s="35"/>
    </row>
    <row r="67" s="43" customFormat="1" ht="15.6" customHeight="1" spans="1:52">
      <c r="A67" s="35">
        <v>284923</v>
      </c>
      <c r="B67" s="35" t="s">
        <v>148</v>
      </c>
      <c r="C67" s="35" t="str">
        <f>VLOOKUP(B67,'姓名+分部'!A:B,2,FALSE)</f>
        <v>三分部</v>
      </c>
      <c r="D67" s="57" t="s">
        <v>40</v>
      </c>
      <c r="E67" s="58" t="str">
        <f ca="1" t="shared" si="34"/>
        <v>无排名</v>
      </c>
      <c r="F67" s="35" t="str">
        <f ca="1" t="shared" si="35"/>
        <v>继续培训</v>
      </c>
      <c r="G67" s="35" t="str">
        <f t="shared" si="33"/>
        <v>A2</v>
      </c>
      <c r="H67" s="59">
        <f t="shared" si="36"/>
        <v>45853</v>
      </c>
      <c r="I67" s="69">
        <v>45733</v>
      </c>
      <c r="J67" s="35" t="str">
        <f t="shared" si="37"/>
        <v>未完成</v>
      </c>
      <c r="K67" s="59"/>
      <c r="L67" s="58" t="str">
        <f t="shared" si="38"/>
        <v>未完成</v>
      </c>
      <c r="M67" s="58" t="str">
        <f t="shared" si="39"/>
        <v>未完成</v>
      </c>
      <c r="N67" s="35"/>
      <c r="O67" s="58" t="str">
        <f t="shared" si="40"/>
        <v>未完成</v>
      </c>
      <c r="P67" s="58" t="str">
        <f t="shared" si="41"/>
        <v>未完成</v>
      </c>
      <c r="Q67" s="35"/>
      <c r="R67" s="35"/>
      <c r="S67" s="35" t="str">
        <f t="shared" si="42"/>
        <v>未完成</v>
      </c>
      <c r="T67" s="60"/>
      <c r="U67" s="35" t="str">
        <f t="shared" si="43"/>
        <v>未完成</v>
      </c>
      <c r="V67" s="35"/>
      <c r="W67" s="35" t="str">
        <f t="shared" si="44"/>
        <v>未完成</v>
      </c>
      <c r="X67" s="61"/>
      <c r="Y67" s="62">
        <f ca="1" t="shared" si="45"/>
        <v>40</v>
      </c>
      <c r="Z67" s="58" t="s">
        <v>75</v>
      </c>
      <c r="AA67" s="35">
        <f t="shared" si="46"/>
        <v>5</v>
      </c>
      <c r="AB67" s="58" t="s">
        <v>75</v>
      </c>
      <c r="AC67" s="35">
        <f t="shared" si="47"/>
        <v>10</v>
      </c>
      <c r="AD67" s="58" t="s">
        <v>75</v>
      </c>
      <c r="AE67" s="35">
        <f t="shared" si="48"/>
        <v>5</v>
      </c>
      <c r="AF67" s="63">
        <f t="shared" si="49"/>
        <v>0</v>
      </c>
      <c r="AG67" s="64">
        <f ca="1" t="shared" si="50"/>
        <v>0</v>
      </c>
      <c r="AH67" s="35">
        <f ca="1" t="shared" si="51"/>
        <v>0</v>
      </c>
      <c r="AI67" s="64">
        <f ca="1" t="shared" si="52"/>
        <v>0</v>
      </c>
      <c r="AJ67" s="35">
        <f ca="1" t="shared" si="53"/>
        <v>0</v>
      </c>
      <c r="AK67" s="35">
        <f t="shared" si="54"/>
        <v>0</v>
      </c>
      <c r="AL67" s="64">
        <f ca="1" t="shared" si="55"/>
        <v>0</v>
      </c>
      <c r="AM67" s="35">
        <f ca="1" t="shared" si="56"/>
        <v>0</v>
      </c>
      <c r="AN67" s="35">
        <f t="shared" si="57"/>
        <v>0</v>
      </c>
      <c r="AO67" s="64">
        <f ca="1" t="shared" si="58"/>
        <v>0</v>
      </c>
      <c r="AP67" s="35">
        <f ca="1" t="shared" si="59"/>
        <v>0</v>
      </c>
      <c r="AQ67" s="35">
        <f t="shared" si="60"/>
        <v>0</v>
      </c>
      <c r="AR67" s="64">
        <f ca="1" t="shared" si="61"/>
        <v>0</v>
      </c>
      <c r="AS67" s="35">
        <f ca="1" t="shared" si="62"/>
        <v>0</v>
      </c>
      <c r="AT67" s="65">
        <f>VLOOKUP(B67,经历时间!A:B,2,FALSE)</f>
        <v>638.11</v>
      </c>
      <c r="AU67" s="67">
        <f t="shared" si="63"/>
        <v>0</v>
      </c>
      <c r="AV67" s="35">
        <f ca="1" t="shared" si="32"/>
        <v>9</v>
      </c>
      <c r="AW67" s="24">
        <v>20</v>
      </c>
      <c r="AX67" s="35"/>
      <c r="AY67" s="24">
        <f ca="1">IFERROR(VLOOKUP(B67,'兼职+帮忙'!B:AF,28,FALSE),0)</f>
        <v>0</v>
      </c>
      <c r="AZ67" s="35"/>
    </row>
    <row r="68" s="43" customFormat="1" ht="15.6" customHeight="1" spans="1:52">
      <c r="A68" s="73">
        <v>275109</v>
      </c>
      <c r="B68" s="74" t="s">
        <v>149</v>
      </c>
      <c r="C68" s="35" t="str">
        <f>VLOOKUP(B68,'姓名+分部'!A:B,2,FALSE)</f>
        <v>二分部</v>
      </c>
      <c r="D68" s="57" t="s">
        <v>40</v>
      </c>
      <c r="E68" s="58" t="str">
        <f ca="1" t="shared" si="34"/>
        <v>无排名</v>
      </c>
      <c r="F68" s="35" t="str">
        <f ca="1" t="shared" si="35"/>
        <v>继续培训</v>
      </c>
      <c r="G68" s="35" t="str">
        <f t="shared" si="33"/>
        <v>A2</v>
      </c>
      <c r="H68" s="59">
        <f t="shared" si="36"/>
        <v>45532</v>
      </c>
      <c r="I68" s="69">
        <v>45412</v>
      </c>
      <c r="J68" s="35" t="str">
        <f t="shared" si="37"/>
        <v>未完成</v>
      </c>
      <c r="K68" s="59"/>
      <c r="L68" s="58" t="str">
        <f t="shared" si="38"/>
        <v>未完成</v>
      </c>
      <c r="M68" s="58" t="str">
        <f t="shared" si="39"/>
        <v>未完成</v>
      </c>
      <c r="N68" s="35"/>
      <c r="O68" s="58" t="str">
        <f t="shared" si="40"/>
        <v>未完成</v>
      </c>
      <c r="P68" s="58" t="str">
        <f t="shared" si="41"/>
        <v>未完成</v>
      </c>
      <c r="Q68" s="35"/>
      <c r="R68" s="35"/>
      <c r="S68" s="35" t="str">
        <f t="shared" si="42"/>
        <v>未完成</v>
      </c>
      <c r="T68" s="60"/>
      <c r="U68" s="35" t="str">
        <f t="shared" si="43"/>
        <v>未完成</v>
      </c>
      <c r="V68" s="35"/>
      <c r="W68" s="35" t="str">
        <f t="shared" si="44"/>
        <v>未完成</v>
      </c>
      <c r="X68" s="61"/>
      <c r="Y68" s="62">
        <f ca="1" t="shared" si="45"/>
        <v>58</v>
      </c>
      <c r="Z68" s="58" t="s">
        <v>75</v>
      </c>
      <c r="AA68" s="35">
        <f t="shared" si="46"/>
        <v>5</v>
      </c>
      <c r="AB68" s="58" t="s">
        <v>75</v>
      </c>
      <c r="AC68" s="35">
        <f t="shared" si="47"/>
        <v>10</v>
      </c>
      <c r="AD68" s="58" t="s">
        <v>75</v>
      </c>
      <c r="AE68" s="35">
        <f t="shared" si="48"/>
        <v>5</v>
      </c>
      <c r="AF68" s="63">
        <f t="shared" si="49"/>
        <v>0</v>
      </c>
      <c r="AG68" s="64">
        <f ca="1" t="shared" si="50"/>
        <v>0</v>
      </c>
      <c r="AH68" s="35">
        <f ca="1" t="shared" si="51"/>
        <v>0</v>
      </c>
      <c r="AI68" s="64">
        <f ca="1" t="shared" si="52"/>
        <v>0</v>
      </c>
      <c r="AJ68" s="35">
        <f ca="1" t="shared" si="53"/>
        <v>0</v>
      </c>
      <c r="AK68" s="35">
        <f t="shared" si="54"/>
        <v>0</v>
      </c>
      <c r="AL68" s="64">
        <f ca="1" t="shared" si="55"/>
        <v>0</v>
      </c>
      <c r="AM68" s="35">
        <f ca="1" t="shared" si="56"/>
        <v>0</v>
      </c>
      <c r="AN68" s="35">
        <f t="shared" si="57"/>
        <v>0</v>
      </c>
      <c r="AO68" s="64">
        <f ca="1" t="shared" si="58"/>
        <v>0</v>
      </c>
      <c r="AP68" s="35">
        <f ca="1" t="shared" si="59"/>
        <v>0</v>
      </c>
      <c r="AQ68" s="35">
        <f t="shared" si="60"/>
        <v>0</v>
      </c>
      <c r="AR68" s="64">
        <f ca="1" t="shared" si="61"/>
        <v>0</v>
      </c>
      <c r="AS68" s="35">
        <f ca="1" t="shared" si="62"/>
        <v>0</v>
      </c>
      <c r="AT68" s="65">
        <f>VLOOKUP(B68,经历时间!A:B,2,FALSE)</f>
        <v>907.5</v>
      </c>
      <c r="AU68" s="67">
        <f t="shared" si="63"/>
        <v>0</v>
      </c>
      <c r="AV68" s="35">
        <f ca="1" t="shared" si="32"/>
        <v>20</v>
      </c>
      <c r="AW68" s="24">
        <v>38</v>
      </c>
      <c r="AX68" s="35"/>
      <c r="AY68" s="24">
        <f ca="1">IFERROR(VLOOKUP(B68,'兼职+帮忙'!B:AF,28,FALSE),0)</f>
        <v>0</v>
      </c>
      <c r="AZ68" s="35"/>
    </row>
    <row r="69" s="43" customFormat="1" ht="15.6" customHeight="1" spans="1:52">
      <c r="A69" s="73">
        <v>282149</v>
      </c>
      <c r="B69" s="74" t="s">
        <v>150</v>
      </c>
      <c r="C69" s="35" t="str">
        <f>VLOOKUP(B69,'姓名+分部'!A:B,2,FALSE)</f>
        <v>一分部</v>
      </c>
      <c r="D69" s="57" t="s">
        <v>40</v>
      </c>
      <c r="E69" s="58" t="str">
        <f ca="1" t="shared" si="34"/>
        <v>无排名</v>
      </c>
      <c r="F69" s="35" t="str">
        <f ca="1" t="shared" si="35"/>
        <v>继续培训</v>
      </c>
      <c r="G69" s="35" t="str">
        <f t="shared" si="33"/>
        <v>A2</v>
      </c>
      <c r="H69" s="59">
        <f t="shared" si="36"/>
        <v>45564</v>
      </c>
      <c r="I69" s="69">
        <v>45444</v>
      </c>
      <c r="J69" s="35" t="str">
        <f t="shared" si="37"/>
        <v>未完成</v>
      </c>
      <c r="K69" s="59"/>
      <c r="L69" s="58" t="str">
        <f t="shared" si="38"/>
        <v>未完成</v>
      </c>
      <c r="M69" s="58" t="str">
        <f t="shared" si="39"/>
        <v>未完成</v>
      </c>
      <c r="N69" s="35"/>
      <c r="O69" s="58" t="str">
        <f t="shared" si="40"/>
        <v>未完成</v>
      </c>
      <c r="P69" s="58" t="str">
        <f t="shared" si="41"/>
        <v>未完成</v>
      </c>
      <c r="Q69" s="35"/>
      <c r="R69" s="35"/>
      <c r="S69" s="35" t="str">
        <f t="shared" si="42"/>
        <v>未完成</v>
      </c>
      <c r="T69" s="60"/>
      <c r="U69" s="35" t="str">
        <f t="shared" si="43"/>
        <v>未完成</v>
      </c>
      <c r="V69" s="35"/>
      <c r="W69" s="35" t="str">
        <f t="shared" si="44"/>
        <v>未完成</v>
      </c>
      <c r="X69" s="61"/>
      <c r="Y69" s="62">
        <f ca="1" t="shared" si="45"/>
        <v>57</v>
      </c>
      <c r="Z69" s="58" t="s">
        <v>75</v>
      </c>
      <c r="AA69" s="35">
        <f t="shared" si="46"/>
        <v>5</v>
      </c>
      <c r="AB69" s="58" t="s">
        <v>75</v>
      </c>
      <c r="AC69" s="35">
        <f t="shared" si="47"/>
        <v>10</v>
      </c>
      <c r="AD69" s="58" t="s">
        <v>75</v>
      </c>
      <c r="AE69" s="35">
        <f t="shared" si="48"/>
        <v>5</v>
      </c>
      <c r="AF69" s="63">
        <f t="shared" si="49"/>
        <v>0</v>
      </c>
      <c r="AG69" s="64">
        <f ca="1" t="shared" si="50"/>
        <v>0</v>
      </c>
      <c r="AH69" s="35">
        <f ca="1" t="shared" si="51"/>
        <v>0</v>
      </c>
      <c r="AI69" s="64">
        <f ca="1" t="shared" si="52"/>
        <v>0</v>
      </c>
      <c r="AJ69" s="35">
        <f ca="1" t="shared" si="53"/>
        <v>0</v>
      </c>
      <c r="AK69" s="35">
        <f t="shared" si="54"/>
        <v>0</v>
      </c>
      <c r="AL69" s="64">
        <f ca="1" t="shared" si="55"/>
        <v>0</v>
      </c>
      <c r="AM69" s="35">
        <f ca="1" t="shared" si="56"/>
        <v>0</v>
      </c>
      <c r="AN69" s="35">
        <f t="shared" si="57"/>
        <v>0</v>
      </c>
      <c r="AO69" s="64">
        <f ca="1" t="shared" si="58"/>
        <v>0</v>
      </c>
      <c r="AP69" s="35">
        <f ca="1" t="shared" si="59"/>
        <v>0</v>
      </c>
      <c r="AQ69" s="35">
        <f t="shared" si="60"/>
        <v>0</v>
      </c>
      <c r="AR69" s="64">
        <f ca="1" t="shared" si="61"/>
        <v>0</v>
      </c>
      <c r="AS69" s="35">
        <f ca="1" t="shared" si="62"/>
        <v>0</v>
      </c>
      <c r="AT69" s="65">
        <f>VLOOKUP(B69,经历时间!A:B,2,FALSE)</f>
        <v>678.26</v>
      </c>
      <c r="AU69" s="67">
        <f t="shared" si="63"/>
        <v>0</v>
      </c>
      <c r="AV69" s="35">
        <f ca="1" t="shared" si="32"/>
        <v>19</v>
      </c>
      <c r="AW69" s="24">
        <v>37</v>
      </c>
      <c r="AX69" s="35"/>
      <c r="AY69" s="24">
        <f ca="1">IFERROR(VLOOKUP(B69,'兼职+帮忙'!B:AF,28,FALSE),0)</f>
        <v>0</v>
      </c>
      <c r="AZ69" s="35"/>
    </row>
    <row r="70" s="43" customFormat="1" ht="15.6" customHeight="1" spans="1:52">
      <c r="A70" s="35">
        <v>257611</v>
      </c>
      <c r="B70" s="35" t="s">
        <v>151</v>
      </c>
      <c r="C70" s="35" t="str">
        <f>VLOOKUP(B70,'姓名+分部'!A:B,2,FALSE)</f>
        <v>三分部</v>
      </c>
      <c r="D70" s="57" t="s">
        <v>45</v>
      </c>
      <c r="E70" s="58" t="str">
        <f ca="1" t="shared" si="34"/>
        <v>无排名</v>
      </c>
      <c r="F70" s="35" t="str">
        <f ca="1" t="shared" si="35"/>
        <v>继续培训</v>
      </c>
      <c r="G70" s="35" t="str">
        <f t="shared" si="33"/>
        <v>不考核</v>
      </c>
      <c r="H70" s="59" t="str">
        <f t="shared" si="36"/>
        <v>完成考核</v>
      </c>
      <c r="I70" s="69">
        <v>44965</v>
      </c>
      <c r="J70" s="35">
        <f t="shared" si="37"/>
        <v>7</v>
      </c>
      <c r="K70" s="59">
        <v>45197</v>
      </c>
      <c r="L70" s="58">
        <f t="shared" si="38"/>
        <v>26</v>
      </c>
      <c r="M70" s="58">
        <f t="shared" si="39"/>
        <v>19</v>
      </c>
      <c r="N70" s="59">
        <v>45777</v>
      </c>
      <c r="O70" s="58" t="str">
        <f t="shared" si="40"/>
        <v>未完成</v>
      </c>
      <c r="P70" s="58" t="str">
        <f t="shared" si="41"/>
        <v>未完成</v>
      </c>
      <c r="Q70" s="35"/>
      <c r="R70" s="35"/>
      <c r="S70" s="35" t="str">
        <f t="shared" si="42"/>
        <v>未完成</v>
      </c>
      <c r="T70" s="60"/>
      <c r="U70" s="35" t="str">
        <f t="shared" si="43"/>
        <v>未完成</v>
      </c>
      <c r="V70" s="35"/>
      <c r="W70" s="35" t="str">
        <f t="shared" si="44"/>
        <v>未完成</v>
      </c>
      <c r="X70" s="61"/>
      <c r="Y70" s="62">
        <f ca="1" t="shared" si="45"/>
        <v>68</v>
      </c>
      <c r="Z70" s="58" t="s">
        <v>75</v>
      </c>
      <c r="AA70" s="35">
        <f t="shared" si="46"/>
        <v>5</v>
      </c>
      <c r="AB70" s="58" t="s">
        <v>75</v>
      </c>
      <c r="AC70" s="35">
        <f t="shared" si="47"/>
        <v>10</v>
      </c>
      <c r="AD70" s="58" t="s">
        <v>75</v>
      </c>
      <c r="AE70" s="35">
        <f t="shared" si="48"/>
        <v>5</v>
      </c>
      <c r="AF70" s="63">
        <f t="shared" si="49"/>
        <v>20</v>
      </c>
      <c r="AG70" s="64">
        <f ca="1" t="shared" si="50"/>
        <v>8</v>
      </c>
      <c r="AH70" s="35">
        <f ca="1" t="shared" si="51"/>
        <v>24</v>
      </c>
      <c r="AI70" s="64">
        <f ca="1" t="shared" si="52"/>
        <v>0</v>
      </c>
      <c r="AJ70" s="35">
        <f ca="1" t="shared" si="53"/>
        <v>0</v>
      </c>
      <c r="AK70" s="35">
        <f t="shared" si="54"/>
        <v>0</v>
      </c>
      <c r="AL70" s="64">
        <f ca="1" t="shared" si="55"/>
        <v>0</v>
      </c>
      <c r="AM70" s="35">
        <f ca="1" t="shared" si="56"/>
        <v>0</v>
      </c>
      <c r="AN70" s="35">
        <f t="shared" si="57"/>
        <v>0</v>
      </c>
      <c r="AO70" s="64">
        <f ca="1" t="shared" si="58"/>
        <v>0</v>
      </c>
      <c r="AP70" s="35">
        <f ca="1" t="shared" si="59"/>
        <v>0</v>
      </c>
      <c r="AQ70" s="35">
        <f t="shared" si="60"/>
        <v>0</v>
      </c>
      <c r="AR70" s="64">
        <f ca="1" t="shared" si="61"/>
        <v>0</v>
      </c>
      <c r="AS70" s="35">
        <f ca="1" t="shared" si="62"/>
        <v>0</v>
      </c>
      <c r="AT70" s="65">
        <f>VLOOKUP(B70,经历时间!A:B,2,FALSE)</f>
        <v>1335.26</v>
      </c>
      <c r="AU70" s="67">
        <f t="shared" si="63"/>
        <v>0</v>
      </c>
      <c r="AV70" s="35">
        <f ca="1" t="shared" si="32"/>
        <v>35</v>
      </c>
      <c r="AW70" s="24">
        <v>24</v>
      </c>
      <c r="AX70" s="35"/>
      <c r="AY70" s="24">
        <f ca="1">IFERROR(VLOOKUP(B70,'兼职+帮忙'!B:AF,28,FALSE),0)</f>
        <v>0</v>
      </c>
      <c r="AZ70" s="35"/>
    </row>
    <row r="71" s="43" customFormat="1" ht="15.6" customHeight="1" spans="1:52">
      <c r="A71" s="73">
        <v>284122</v>
      </c>
      <c r="B71" s="74" t="s">
        <v>152</v>
      </c>
      <c r="C71" s="35" t="str">
        <f>VLOOKUP(B71,'姓名+分部'!A:B,2,FALSE)</f>
        <v>一分部</v>
      </c>
      <c r="D71" s="57" t="s">
        <v>42</v>
      </c>
      <c r="E71" s="58" t="str">
        <f ca="1" t="shared" si="34"/>
        <v>无排名</v>
      </c>
      <c r="F71" s="35" t="str">
        <f ca="1" t="shared" si="35"/>
        <v>继续培训</v>
      </c>
      <c r="G71" s="35" t="str">
        <f t="shared" si="33"/>
        <v>B</v>
      </c>
      <c r="H71" s="59">
        <f t="shared" si="36"/>
        <v>46092</v>
      </c>
      <c r="I71" s="69">
        <v>45549</v>
      </c>
      <c r="J71" s="35">
        <f t="shared" si="37"/>
        <v>5</v>
      </c>
      <c r="K71" s="59">
        <v>45702</v>
      </c>
      <c r="L71" s="58" t="str">
        <f t="shared" si="38"/>
        <v>未完成</v>
      </c>
      <c r="M71" s="58" t="str">
        <f t="shared" si="39"/>
        <v>未完成</v>
      </c>
      <c r="N71" s="35"/>
      <c r="O71" s="58" t="str">
        <f t="shared" si="40"/>
        <v>未完成</v>
      </c>
      <c r="P71" s="58" t="str">
        <f t="shared" si="41"/>
        <v>未完成</v>
      </c>
      <c r="Q71" s="35"/>
      <c r="R71" s="35"/>
      <c r="S71" s="35" t="str">
        <f t="shared" si="42"/>
        <v>未完成</v>
      </c>
      <c r="T71" s="60"/>
      <c r="U71" s="35" t="str">
        <f t="shared" si="43"/>
        <v>未完成</v>
      </c>
      <c r="V71" s="35"/>
      <c r="W71" s="35" t="str">
        <f t="shared" si="44"/>
        <v>未完成</v>
      </c>
      <c r="X71" s="61"/>
      <c r="Y71" s="62">
        <f ca="1" t="shared" si="45"/>
        <v>53</v>
      </c>
      <c r="Z71" s="58" t="s">
        <v>75</v>
      </c>
      <c r="AA71" s="35">
        <f t="shared" si="46"/>
        <v>5</v>
      </c>
      <c r="AB71" s="58" t="s">
        <v>75</v>
      </c>
      <c r="AC71" s="35">
        <f t="shared" si="47"/>
        <v>10</v>
      </c>
      <c r="AD71" s="58" t="s">
        <v>75</v>
      </c>
      <c r="AE71" s="35">
        <f t="shared" si="48"/>
        <v>5</v>
      </c>
      <c r="AF71" s="63">
        <f t="shared" si="49"/>
        <v>10</v>
      </c>
      <c r="AG71" s="64">
        <f ca="1" t="shared" si="50"/>
        <v>0</v>
      </c>
      <c r="AH71" s="35">
        <f ca="1" t="shared" si="51"/>
        <v>0</v>
      </c>
      <c r="AI71" s="64">
        <f ca="1" t="shared" si="52"/>
        <v>0</v>
      </c>
      <c r="AJ71" s="35">
        <f ca="1" t="shared" si="53"/>
        <v>0</v>
      </c>
      <c r="AK71" s="35">
        <f t="shared" si="54"/>
        <v>0</v>
      </c>
      <c r="AL71" s="64">
        <f ca="1" t="shared" si="55"/>
        <v>0</v>
      </c>
      <c r="AM71" s="35">
        <f ca="1" t="shared" si="56"/>
        <v>0</v>
      </c>
      <c r="AN71" s="35">
        <f t="shared" si="57"/>
        <v>0</v>
      </c>
      <c r="AO71" s="64">
        <f ca="1" t="shared" si="58"/>
        <v>0</v>
      </c>
      <c r="AP71" s="35">
        <f ca="1" t="shared" si="59"/>
        <v>0</v>
      </c>
      <c r="AQ71" s="35">
        <f t="shared" si="60"/>
        <v>0</v>
      </c>
      <c r="AR71" s="64">
        <f ca="1" t="shared" si="61"/>
        <v>0</v>
      </c>
      <c r="AS71" s="35">
        <f ca="1" t="shared" si="62"/>
        <v>0</v>
      </c>
      <c r="AT71" s="65">
        <f>VLOOKUP(B71,经历时间!A:B,2,FALSE)</f>
        <v>646.2</v>
      </c>
      <c r="AU71" s="67">
        <f t="shared" si="63"/>
        <v>0</v>
      </c>
      <c r="AV71" s="35">
        <f ca="1" t="shared" si="32"/>
        <v>16</v>
      </c>
      <c r="AW71" s="24">
        <v>33</v>
      </c>
      <c r="AX71" s="35"/>
      <c r="AY71" s="24">
        <f ca="1">IFERROR(VLOOKUP(B71,'兼职+帮忙'!B:AF,28,FALSE),0)</f>
        <v>0</v>
      </c>
      <c r="AZ71" s="35"/>
    </row>
    <row r="72" s="43" customFormat="1" ht="15.6" customHeight="1" spans="1:52">
      <c r="A72" s="35">
        <v>291328</v>
      </c>
      <c r="B72" s="35" t="s">
        <v>153</v>
      </c>
      <c r="C72" s="35" t="str">
        <f>VLOOKUP(B72,'姓名+分部'!A:B,2,FALSE)</f>
        <v>三分部</v>
      </c>
      <c r="D72" s="57" t="s">
        <v>40</v>
      </c>
      <c r="E72" s="58" t="str">
        <f ca="1" t="shared" si="34"/>
        <v>无排名</v>
      </c>
      <c r="F72" s="35" t="str">
        <f ca="1" t="shared" si="35"/>
        <v>继续培训</v>
      </c>
      <c r="G72" s="35" t="str">
        <f t="shared" si="33"/>
        <v>A2</v>
      </c>
      <c r="H72" s="59">
        <f t="shared" si="36"/>
        <v>45846</v>
      </c>
      <c r="I72" s="69">
        <v>45726</v>
      </c>
      <c r="J72" s="35" t="str">
        <f t="shared" si="37"/>
        <v>未完成</v>
      </c>
      <c r="K72" s="59"/>
      <c r="L72" s="58" t="str">
        <f t="shared" si="38"/>
        <v>未完成</v>
      </c>
      <c r="M72" s="58" t="str">
        <f t="shared" si="39"/>
        <v>未完成</v>
      </c>
      <c r="N72" s="35"/>
      <c r="O72" s="58" t="str">
        <f t="shared" si="40"/>
        <v>未完成</v>
      </c>
      <c r="P72" s="58" t="str">
        <f t="shared" si="41"/>
        <v>未完成</v>
      </c>
      <c r="Q72" s="35"/>
      <c r="R72" s="35"/>
      <c r="S72" s="35" t="str">
        <f t="shared" si="42"/>
        <v>未完成</v>
      </c>
      <c r="T72" s="60"/>
      <c r="U72" s="35" t="str">
        <f t="shared" si="43"/>
        <v>未完成</v>
      </c>
      <c r="V72" s="35"/>
      <c r="W72" s="35" t="str">
        <f t="shared" si="44"/>
        <v>未完成</v>
      </c>
      <c r="X72" s="61"/>
      <c r="Y72" s="62">
        <f ca="1" t="shared" si="45"/>
        <v>37</v>
      </c>
      <c r="Z72" s="58" t="s">
        <v>75</v>
      </c>
      <c r="AA72" s="35">
        <f t="shared" si="46"/>
        <v>5</v>
      </c>
      <c r="AB72" s="58" t="s">
        <v>75</v>
      </c>
      <c r="AC72" s="35">
        <f t="shared" si="47"/>
        <v>10</v>
      </c>
      <c r="AD72" s="58" t="s">
        <v>75</v>
      </c>
      <c r="AE72" s="35">
        <f t="shared" si="48"/>
        <v>5</v>
      </c>
      <c r="AF72" s="63">
        <f t="shared" si="49"/>
        <v>0</v>
      </c>
      <c r="AG72" s="64">
        <f ca="1" t="shared" si="50"/>
        <v>0</v>
      </c>
      <c r="AH72" s="35">
        <f ca="1" t="shared" si="51"/>
        <v>0</v>
      </c>
      <c r="AI72" s="64">
        <f ca="1" t="shared" si="52"/>
        <v>0</v>
      </c>
      <c r="AJ72" s="35">
        <f ca="1" t="shared" si="53"/>
        <v>0</v>
      </c>
      <c r="AK72" s="35">
        <f t="shared" si="54"/>
        <v>0</v>
      </c>
      <c r="AL72" s="64">
        <f ca="1" t="shared" si="55"/>
        <v>0</v>
      </c>
      <c r="AM72" s="35">
        <f ca="1" t="shared" si="56"/>
        <v>0</v>
      </c>
      <c r="AN72" s="35">
        <f t="shared" si="57"/>
        <v>0</v>
      </c>
      <c r="AO72" s="64">
        <f ca="1" t="shared" si="58"/>
        <v>0</v>
      </c>
      <c r="AP72" s="35">
        <f ca="1" t="shared" si="59"/>
        <v>0</v>
      </c>
      <c r="AQ72" s="35">
        <f t="shared" si="60"/>
        <v>0</v>
      </c>
      <c r="AR72" s="64">
        <f ca="1" t="shared" si="61"/>
        <v>0</v>
      </c>
      <c r="AS72" s="35">
        <f ca="1" t="shared" si="62"/>
        <v>0</v>
      </c>
      <c r="AT72" s="65">
        <f>VLOOKUP(B72,经历时间!A:B,2,FALSE)</f>
        <v>693.09</v>
      </c>
      <c r="AU72" s="67">
        <f t="shared" si="63"/>
        <v>0</v>
      </c>
      <c r="AV72" s="35">
        <f ca="1" t="shared" si="32"/>
        <v>10</v>
      </c>
      <c r="AW72" s="24">
        <v>17</v>
      </c>
      <c r="AX72" s="35"/>
      <c r="AY72" s="24">
        <f ca="1">IFERROR(VLOOKUP(B72,'兼职+帮忙'!B:AF,28,FALSE),0)</f>
        <v>0</v>
      </c>
      <c r="AZ72" s="35"/>
    </row>
    <row r="73" s="43" customFormat="1" ht="15.6" customHeight="1" spans="1:52">
      <c r="A73" s="35">
        <v>262054</v>
      </c>
      <c r="B73" s="35" t="s">
        <v>154</v>
      </c>
      <c r="C73" s="35" t="str">
        <f>VLOOKUP(B73,'姓名+分部'!A:B,2,FALSE)</f>
        <v>一分部</v>
      </c>
      <c r="D73" s="57" t="s">
        <v>42</v>
      </c>
      <c r="E73" s="58" t="str">
        <f ca="1" t="shared" si="34"/>
        <v>无排名</v>
      </c>
      <c r="F73" s="35" t="str">
        <f ca="1" t="shared" si="35"/>
        <v>继续培训</v>
      </c>
      <c r="G73" s="35" t="str">
        <f t="shared" si="33"/>
        <v>不考核</v>
      </c>
      <c r="H73" s="59" t="str">
        <f t="shared" si="36"/>
        <v>完成考核</v>
      </c>
      <c r="I73" s="60">
        <v>44315</v>
      </c>
      <c r="J73" s="35">
        <f t="shared" si="37"/>
        <v>13</v>
      </c>
      <c r="K73" s="61">
        <v>44725</v>
      </c>
      <c r="L73" s="58">
        <f t="shared" si="38"/>
        <v>52</v>
      </c>
      <c r="M73" s="58">
        <f t="shared" si="39"/>
        <v>39</v>
      </c>
      <c r="N73" s="61">
        <v>45921</v>
      </c>
      <c r="O73" s="58" t="str">
        <f t="shared" si="40"/>
        <v>未完成</v>
      </c>
      <c r="P73" s="58" t="str">
        <f t="shared" si="41"/>
        <v>未完成</v>
      </c>
      <c r="Q73" s="58"/>
      <c r="R73" s="58"/>
      <c r="S73" s="35">
        <f t="shared" si="42"/>
        <v>47</v>
      </c>
      <c r="T73" s="60">
        <v>45761</v>
      </c>
      <c r="U73" s="35" t="str">
        <f t="shared" si="43"/>
        <v>未完成</v>
      </c>
      <c r="V73" s="61"/>
      <c r="W73" s="35" t="str">
        <f t="shared" si="44"/>
        <v>未完成</v>
      </c>
      <c r="X73" s="61"/>
      <c r="Y73" s="62">
        <f ca="1" t="shared" si="45"/>
        <v>83</v>
      </c>
      <c r="Z73" s="58" t="s">
        <v>75</v>
      </c>
      <c r="AA73" s="35">
        <f t="shared" si="46"/>
        <v>5</v>
      </c>
      <c r="AB73" s="35" t="s">
        <v>75</v>
      </c>
      <c r="AC73" s="35">
        <f t="shared" si="47"/>
        <v>10</v>
      </c>
      <c r="AD73" s="35" t="s">
        <v>75</v>
      </c>
      <c r="AE73" s="35">
        <f t="shared" si="48"/>
        <v>5</v>
      </c>
      <c r="AF73" s="63">
        <f t="shared" si="49"/>
        <v>20</v>
      </c>
      <c r="AG73" s="64">
        <f ca="1" t="shared" si="50"/>
        <v>3</v>
      </c>
      <c r="AH73" s="35">
        <f ca="1" t="shared" si="51"/>
        <v>9</v>
      </c>
      <c r="AI73" s="64">
        <f ca="1" t="shared" si="52"/>
        <v>0</v>
      </c>
      <c r="AJ73" s="35">
        <f ca="1" t="shared" si="53"/>
        <v>0</v>
      </c>
      <c r="AK73" s="35">
        <f t="shared" si="54"/>
        <v>10</v>
      </c>
      <c r="AL73" s="64">
        <f ca="1" t="shared" si="55"/>
        <v>9</v>
      </c>
      <c r="AM73" s="35">
        <f ca="1" t="shared" si="56"/>
        <v>54</v>
      </c>
      <c r="AN73" s="35">
        <f t="shared" si="57"/>
        <v>0</v>
      </c>
      <c r="AO73" s="64">
        <f ca="1" t="shared" si="58"/>
        <v>0</v>
      </c>
      <c r="AP73" s="35">
        <f ca="1" t="shared" si="59"/>
        <v>0</v>
      </c>
      <c r="AQ73" s="35">
        <f t="shared" si="60"/>
        <v>0</v>
      </c>
      <c r="AR73" s="64">
        <f ca="1" t="shared" si="61"/>
        <v>0</v>
      </c>
      <c r="AS73" s="35">
        <f ca="1" t="shared" si="62"/>
        <v>0</v>
      </c>
      <c r="AT73" s="65">
        <f>VLOOKUP(B73,经历时间!A:B,2,FALSE)</f>
        <v>1967.4</v>
      </c>
      <c r="AU73" s="67">
        <f t="shared" si="63"/>
        <v>0</v>
      </c>
      <c r="AV73" s="35">
        <f ca="1" t="shared" si="32"/>
        <v>56</v>
      </c>
      <c r="AW73" s="24">
        <v>0</v>
      </c>
      <c r="AX73" s="35"/>
      <c r="AY73" s="24">
        <f ca="1">IFERROR(VLOOKUP(B73,'兼职+帮忙'!B:AF,28,FALSE),0)</f>
        <v>0</v>
      </c>
      <c r="AZ73" s="35"/>
    </row>
    <row r="74" ht="15.6" customHeight="1" spans="1:52">
      <c r="A74" s="35">
        <v>276707</v>
      </c>
      <c r="B74" s="68" t="s">
        <v>155</v>
      </c>
      <c r="C74" s="35" t="str">
        <f>VLOOKUP(B74,'姓名+分部'!A:B,2,FALSE)</f>
        <v>三分部</v>
      </c>
      <c r="D74" s="57" t="s">
        <v>45</v>
      </c>
      <c r="E74" s="58" t="str">
        <f ca="1" t="shared" si="34"/>
        <v>无排名</v>
      </c>
      <c r="F74" s="35" t="str">
        <f ca="1" t="shared" si="35"/>
        <v>继续培训</v>
      </c>
      <c r="G74" s="35" t="str">
        <f t="shared" si="33"/>
        <v>不考核</v>
      </c>
      <c r="H74" s="59" t="str">
        <f t="shared" si="36"/>
        <v>完成考核</v>
      </c>
      <c r="I74" s="60">
        <v>45004</v>
      </c>
      <c r="J74" s="35">
        <f t="shared" si="37"/>
        <v>5</v>
      </c>
      <c r="K74" s="61">
        <v>45180</v>
      </c>
      <c r="L74" s="58">
        <f t="shared" si="38"/>
        <v>24</v>
      </c>
      <c r="M74" s="58">
        <f t="shared" si="39"/>
        <v>19</v>
      </c>
      <c r="N74" s="61">
        <v>45765</v>
      </c>
      <c r="O74" s="58" t="str">
        <f t="shared" si="40"/>
        <v>未完成</v>
      </c>
      <c r="P74" s="58" t="str">
        <f t="shared" si="41"/>
        <v>未完成</v>
      </c>
      <c r="Q74" s="35"/>
      <c r="R74" s="35"/>
      <c r="S74" s="35" t="str">
        <f t="shared" si="42"/>
        <v>未完成</v>
      </c>
      <c r="T74" s="60"/>
      <c r="U74" s="35" t="str">
        <f t="shared" si="43"/>
        <v>未完成</v>
      </c>
      <c r="V74" s="61"/>
      <c r="W74" s="35" t="str">
        <f t="shared" si="44"/>
        <v>未完成</v>
      </c>
      <c r="X74" s="61"/>
      <c r="Y74" s="62">
        <f ca="1" t="shared" si="45"/>
        <v>44</v>
      </c>
      <c r="Z74" s="58" t="s">
        <v>75</v>
      </c>
      <c r="AA74" s="35">
        <f t="shared" si="46"/>
        <v>5</v>
      </c>
      <c r="AB74" s="35" t="s">
        <v>75</v>
      </c>
      <c r="AC74" s="35">
        <f t="shared" si="47"/>
        <v>10</v>
      </c>
      <c r="AD74" s="35" t="s">
        <v>75</v>
      </c>
      <c r="AE74" s="35">
        <f t="shared" si="48"/>
        <v>5</v>
      </c>
      <c r="AF74" s="63">
        <f t="shared" si="49"/>
        <v>20</v>
      </c>
      <c r="AG74" s="64">
        <f ca="1" t="shared" si="50"/>
        <v>8</v>
      </c>
      <c r="AH74" s="35">
        <f ca="1" t="shared" si="51"/>
        <v>24</v>
      </c>
      <c r="AI74" s="64">
        <f ca="1" t="shared" si="52"/>
        <v>0</v>
      </c>
      <c r="AJ74" s="35">
        <f ca="1" t="shared" si="53"/>
        <v>0</v>
      </c>
      <c r="AK74" s="35">
        <f t="shared" si="54"/>
        <v>0</v>
      </c>
      <c r="AL74" s="64">
        <f ca="1" t="shared" si="55"/>
        <v>0</v>
      </c>
      <c r="AM74" s="35">
        <f ca="1" t="shared" si="56"/>
        <v>0</v>
      </c>
      <c r="AN74" s="35">
        <f t="shared" si="57"/>
        <v>0</v>
      </c>
      <c r="AO74" s="64">
        <f ca="1" t="shared" si="58"/>
        <v>0</v>
      </c>
      <c r="AP74" s="35">
        <f ca="1" t="shared" si="59"/>
        <v>0</v>
      </c>
      <c r="AQ74" s="35">
        <f t="shared" si="60"/>
        <v>0</v>
      </c>
      <c r="AR74" s="64">
        <f ca="1" t="shared" si="61"/>
        <v>0</v>
      </c>
      <c r="AS74" s="35">
        <f ca="1" t="shared" si="62"/>
        <v>0</v>
      </c>
      <c r="AT74" s="65">
        <f>VLOOKUP(B74,经历时间!A:B,2,FALSE)</f>
        <v>1285.2</v>
      </c>
      <c r="AU74" s="67">
        <f t="shared" si="63"/>
        <v>0</v>
      </c>
      <c r="AV74" s="35">
        <f ca="1" t="shared" si="32"/>
        <v>33</v>
      </c>
      <c r="AW74" s="24">
        <v>0</v>
      </c>
      <c r="AX74" s="35"/>
      <c r="AY74" s="24">
        <f ca="1">IFERROR(VLOOKUP(B74,'兼职+帮忙'!B:AF,28,FALSE),0)</f>
        <v>0</v>
      </c>
      <c r="AZ74" s="35"/>
    </row>
    <row r="75" ht="15.6" customHeight="1" spans="1:52">
      <c r="A75" s="73">
        <v>290978</v>
      </c>
      <c r="B75" s="74" t="s">
        <v>156</v>
      </c>
      <c r="C75" s="35" t="str">
        <f>VLOOKUP(B75,'姓名+分部'!A:B,2,FALSE)</f>
        <v>一分部</v>
      </c>
      <c r="D75" s="57" t="s">
        <v>40</v>
      </c>
      <c r="E75" s="58" t="str">
        <f ca="1" t="shared" si="34"/>
        <v>无排名</v>
      </c>
      <c r="F75" s="35" t="str">
        <f ca="1" t="shared" si="35"/>
        <v>继续培训</v>
      </c>
      <c r="G75" s="35" t="str">
        <f t="shared" si="33"/>
        <v>A2</v>
      </c>
      <c r="H75" s="59">
        <f t="shared" si="36"/>
        <v>45818</v>
      </c>
      <c r="I75" s="69">
        <v>45698</v>
      </c>
      <c r="J75" s="35" t="str">
        <f t="shared" si="37"/>
        <v>未完成</v>
      </c>
      <c r="K75" s="59"/>
      <c r="L75" s="58" t="str">
        <f t="shared" si="38"/>
        <v>未完成</v>
      </c>
      <c r="M75" s="58" t="str">
        <f t="shared" si="39"/>
        <v>未完成</v>
      </c>
      <c r="N75" s="35"/>
      <c r="O75" s="58" t="str">
        <f t="shared" si="40"/>
        <v>未完成</v>
      </c>
      <c r="P75" s="58" t="str">
        <f t="shared" si="41"/>
        <v>未完成</v>
      </c>
      <c r="Q75" s="35"/>
      <c r="R75" s="35"/>
      <c r="S75" s="35" t="str">
        <f t="shared" si="42"/>
        <v>未完成</v>
      </c>
      <c r="T75" s="60"/>
      <c r="U75" s="35" t="str">
        <f t="shared" si="43"/>
        <v>未完成</v>
      </c>
      <c r="V75" s="35"/>
      <c r="W75" s="35" t="str">
        <f t="shared" si="44"/>
        <v>未完成</v>
      </c>
      <c r="X75" s="61"/>
      <c r="Y75" s="62">
        <f ca="1" t="shared" si="45"/>
        <v>52</v>
      </c>
      <c r="Z75" s="58" t="s">
        <v>75</v>
      </c>
      <c r="AA75" s="35">
        <f t="shared" si="46"/>
        <v>5</v>
      </c>
      <c r="AB75" s="58" t="s">
        <v>75</v>
      </c>
      <c r="AC75" s="35">
        <f t="shared" si="47"/>
        <v>10</v>
      </c>
      <c r="AD75" s="58" t="s">
        <v>75</v>
      </c>
      <c r="AE75" s="35">
        <f t="shared" si="48"/>
        <v>5</v>
      </c>
      <c r="AF75" s="63">
        <f t="shared" si="49"/>
        <v>0</v>
      </c>
      <c r="AG75" s="64">
        <f ca="1" t="shared" si="50"/>
        <v>0</v>
      </c>
      <c r="AH75" s="35">
        <f ca="1" t="shared" si="51"/>
        <v>0</v>
      </c>
      <c r="AI75" s="64">
        <f ca="1" t="shared" si="52"/>
        <v>0</v>
      </c>
      <c r="AJ75" s="35">
        <f ca="1" t="shared" si="53"/>
        <v>0</v>
      </c>
      <c r="AK75" s="35">
        <f t="shared" si="54"/>
        <v>0</v>
      </c>
      <c r="AL75" s="64">
        <f ca="1" t="shared" si="55"/>
        <v>0</v>
      </c>
      <c r="AM75" s="35">
        <f ca="1" t="shared" si="56"/>
        <v>0</v>
      </c>
      <c r="AN75" s="35">
        <f t="shared" si="57"/>
        <v>0</v>
      </c>
      <c r="AO75" s="64">
        <f ca="1" t="shared" si="58"/>
        <v>0</v>
      </c>
      <c r="AP75" s="35">
        <f ca="1" t="shared" si="59"/>
        <v>0</v>
      </c>
      <c r="AQ75" s="35">
        <f t="shared" si="60"/>
        <v>0</v>
      </c>
      <c r="AR75" s="64">
        <f ca="1" t="shared" si="61"/>
        <v>0</v>
      </c>
      <c r="AS75" s="35">
        <f ca="1" t="shared" si="62"/>
        <v>0</v>
      </c>
      <c r="AT75" s="65">
        <f>VLOOKUP(B75,经历时间!A:B,2,FALSE)</f>
        <v>553.58</v>
      </c>
      <c r="AU75" s="67">
        <f t="shared" si="63"/>
        <v>0</v>
      </c>
      <c r="AV75" s="35">
        <f ca="1" t="shared" si="32"/>
        <v>11</v>
      </c>
      <c r="AW75" s="24">
        <v>32</v>
      </c>
      <c r="AX75" s="35"/>
      <c r="AY75" s="24">
        <f ca="1">IFERROR(VLOOKUP(B75,'兼职+帮忙'!B:AF,28,FALSE),0)</f>
        <v>0</v>
      </c>
      <c r="AZ75" s="35"/>
    </row>
    <row r="76" ht="15.6" customHeight="1" spans="1:52">
      <c r="A76" s="73">
        <v>285896</v>
      </c>
      <c r="B76" s="74" t="s">
        <v>157</v>
      </c>
      <c r="C76" s="35" t="str">
        <f>VLOOKUP(B76,'姓名+分部'!A:B,2,FALSE)</f>
        <v>三分部</v>
      </c>
      <c r="D76" s="57" t="s">
        <v>40</v>
      </c>
      <c r="E76" s="58" t="str">
        <f ca="1" t="shared" si="34"/>
        <v>无排名</v>
      </c>
      <c r="F76" s="35" t="str">
        <f ca="1" t="shared" si="35"/>
        <v>继续培训</v>
      </c>
      <c r="G76" s="35" t="str">
        <f t="shared" si="33"/>
        <v>A2</v>
      </c>
      <c r="H76" s="59">
        <f t="shared" si="36"/>
        <v>45818</v>
      </c>
      <c r="I76" s="69">
        <v>45698</v>
      </c>
      <c r="J76" s="35" t="str">
        <f t="shared" si="37"/>
        <v>未完成</v>
      </c>
      <c r="K76" s="59"/>
      <c r="L76" s="58" t="str">
        <f t="shared" si="38"/>
        <v>未完成</v>
      </c>
      <c r="M76" s="58" t="str">
        <f t="shared" si="39"/>
        <v>未完成</v>
      </c>
      <c r="N76" s="35"/>
      <c r="O76" s="58" t="str">
        <f t="shared" si="40"/>
        <v>未完成</v>
      </c>
      <c r="P76" s="58" t="str">
        <f t="shared" si="41"/>
        <v>未完成</v>
      </c>
      <c r="Q76" s="35"/>
      <c r="R76" s="35"/>
      <c r="S76" s="35" t="str">
        <f t="shared" si="42"/>
        <v>未完成</v>
      </c>
      <c r="T76" s="60"/>
      <c r="U76" s="35" t="str">
        <f t="shared" si="43"/>
        <v>未完成</v>
      </c>
      <c r="V76" s="35"/>
      <c r="W76" s="35" t="str">
        <f t="shared" si="44"/>
        <v>未完成</v>
      </c>
      <c r="X76" s="61"/>
      <c r="Y76" s="62">
        <f ca="1" t="shared" si="45"/>
        <v>51</v>
      </c>
      <c r="Z76" s="58" t="s">
        <v>75</v>
      </c>
      <c r="AA76" s="35">
        <f t="shared" si="46"/>
        <v>5</v>
      </c>
      <c r="AB76" s="58" t="s">
        <v>75</v>
      </c>
      <c r="AC76" s="35">
        <f t="shared" si="47"/>
        <v>10</v>
      </c>
      <c r="AD76" s="58" t="s">
        <v>75</v>
      </c>
      <c r="AE76" s="35">
        <f t="shared" si="48"/>
        <v>5</v>
      </c>
      <c r="AF76" s="63">
        <f t="shared" si="49"/>
        <v>0</v>
      </c>
      <c r="AG76" s="64">
        <f ca="1" t="shared" si="50"/>
        <v>0</v>
      </c>
      <c r="AH76" s="35">
        <f ca="1" t="shared" si="51"/>
        <v>0</v>
      </c>
      <c r="AI76" s="64">
        <f ca="1" t="shared" si="52"/>
        <v>0</v>
      </c>
      <c r="AJ76" s="35">
        <f ca="1" t="shared" si="53"/>
        <v>0</v>
      </c>
      <c r="AK76" s="35">
        <f t="shared" si="54"/>
        <v>0</v>
      </c>
      <c r="AL76" s="64">
        <f ca="1" t="shared" si="55"/>
        <v>0</v>
      </c>
      <c r="AM76" s="35">
        <f ca="1" t="shared" si="56"/>
        <v>0</v>
      </c>
      <c r="AN76" s="35">
        <f t="shared" si="57"/>
        <v>0</v>
      </c>
      <c r="AO76" s="64">
        <f ca="1" t="shared" si="58"/>
        <v>0</v>
      </c>
      <c r="AP76" s="35">
        <f ca="1" t="shared" si="59"/>
        <v>0</v>
      </c>
      <c r="AQ76" s="35">
        <f t="shared" si="60"/>
        <v>0</v>
      </c>
      <c r="AR76" s="64">
        <f ca="1" t="shared" si="61"/>
        <v>0</v>
      </c>
      <c r="AS76" s="35">
        <f ca="1" t="shared" si="62"/>
        <v>0</v>
      </c>
      <c r="AT76" s="65">
        <f>VLOOKUP(B76,经历时间!A:B,2,FALSE)</f>
        <v>554.22</v>
      </c>
      <c r="AU76" s="67">
        <f t="shared" si="63"/>
        <v>0</v>
      </c>
      <c r="AV76" s="35">
        <f ca="1" t="shared" si="32"/>
        <v>11</v>
      </c>
      <c r="AW76" s="24">
        <v>31</v>
      </c>
      <c r="AX76" s="35"/>
      <c r="AY76" s="24">
        <f ca="1">IFERROR(VLOOKUP(B76,'兼职+帮忙'!B:AF,28,FALSE),0)</f>
        <v>0</v>
      </c>
      <c r="AZ76" s="35"/>
    </row>
    <row r="77" ht="15.6" customHeight="1" spans="1:52">
      <c r="A77" s="73">
        <v>272827</v>
      </c>
      <c r="B77" s="74" t="s">
        <v>158</v>
      </c>
      <c r="C77" s="35" t="str">
        <f>VLOOKUP(B77,'姓名+分部'!A:B,2,FALSE)</f>
        <v>一分部</v>
      </c>
      <c r="D77" s="57" t="s">
        <v>42</v>
      </c>
      <c r="E77" s="58" t="str">
        <f ca="1" t="shared" si="34"/>
        <v>无排名</v>
      </c>
      <c r="F77" s="35" t="str">
        <f ca="1" t="shared" si="35"/>
        <v>继续培训</v>
      </c>
      <c r="G77" s="35" t="str">
        <f t="shared" si="33"/>
        <v>B</v>
      </c>
      <c r="H77" s="59">
        <f t="shared" si="36"/>
        <v>45530</v>
      </c>
      <c r="I77" s="69">
        <v>45022</v>
      </c>
      <c r="J77" s="35">
        <f t="shared" si="37"/>
        <v>3</v>
      </c>
      <c r="K77" s="59">
        <v>45140</v>
      </c>
      <c r="L77" s="58" t="str">
        <f t="shared" si="38"/>
        <v>未完成</v>
      </c>
      <c r="M77" s="58" t="str">
        <f t="shared" si="39"/>
        <v>未完成</v>
      </c>
      <c r="N77" s="35"/>
      <c r="O77" s="58" t="str">
        <f t="shared" si="40"/>
        <v>未完成</v>
      </c>
      <c r="P77" s="58" t="str">
        <f t="shared" si="41"/>
        <v>未完成</v>
      </c>
      <c r="Q77" s="35"/>
      <c r="R77" s="35"/>
      <c r="S77" s="35" t="str">
        <f t="shared" si="42"/>
        <v>未完成</v>
      </c>
      <c r="T77" s="60"/>
      <c r="U77" s="35" t="str">
        <f t="shared" si="43"/>
        <v>未完成</v>
      </c>
      <c r="V77" s="35"/>
      <c r="W77" s="35" t="str">
        <f t="shared" si="44"/>
        <v>未完成</v>
      </c>
      <c r="X77" s="61"/>
      <c r="Y77" s="62">
        <f ca="1" t="shared" si="45"/>
        <v>48</v>
      </c>
      <c r="Z77" s="58" t="s">
        <v>75</v>
      </c>
      <c r="AA77" s="35">
        <f t="shared" si="46"/>
        <v>5</v>
      </c>
      <c r="AB77" s="58" t="s">
        <v>75</v>
      </c>
      <c r="AC77" s="35">
        <f t="shared" si="47"/>
        <v>10</v>
      </c>
      <c r="AD77" s="58" t="s">
        <v>75</v>
      </c>
      <c r="AE77" s="35">
        <f t="shared" si="48"/>
        <v>5</v>
      </c>
      <c r="AF77" s="63">
        <f t="shared" si="49"/>
        <v>10</v>
      </c>
      <c r="AG77" s="64">
        <f ca="1" t="shared" si="50"/>
        <v>0</v>
      </c>
      <c r="AH77" s="35">
        <f ca="1" t="shared" si="51"/>
        <v>0</v>
      </c>
      <c r="AI77" s="64">
        <f ca="1" t="shared" si="52"/>
        <v>0</v>
      </c>
      <c r="AJ77" s="35">
        <f ca="1" t="shared" si="53"/>
        <v>0</v>
      </c>
      <c r="AK77" s="35">
        <f t="shared" si="54"/>
        <v>0</v>
      </c>
      <c r="AL77" s="64">
        <f ca="1" t="shared" si="55"/>
        <v>0</v>
      </c>
      <c r="AM77" s="35">
        <f ca="1" t="shared" si="56"/>
        <v>0</v>
      </c>
      <c r="AN77" s="35">
        <f t="shared" si="57"/>
        <v>0</v>
      </c>
      <c r="AO77" s="64">
        <f ca="1" t="shared" si="58"/>
        <v>0</v>
      </c>
      <c r="AP77" s="35">
        <f ca="1" t="shared" si="59"/>
        <v>0</v>
      </c>
      <c r="AQ77" s="35">
        <f t="shared" si="60"/>
        <v>0</v>
      </c>
      <c r="AR77" s="64">
        <f ca="1" t="shared" si="61"/>
        <v>0</v>
      </c>
      <c r="AS77" s="35">
        <f ca="1" t="shared" si="62"/>
        <v>0</v>
      </c>
      <c r="AT77" s="65">
        <f>VLOOKUP(B77,经历时间!A:B,2,FALSE)</f>
        <v>1286.06</v>
      </c>
      <c r="AU77" s="67">
        <f t="shared" si="63"/>
        <v>0</v>
      </c>
      <c r="AV77" s="35">
        <f ca="1" t="shared" si="32"/>
        <v>33</v>
      </c>
      <c r="AW77" s="24">
        <v>28</v>
      </c>
      <c r="AX77" s="35"/>
      <c r="AY77" s="24">
        <f ca="1">IFERROR(VLOOKUP(B77,'兼职+帮忙'!B:AF,28,FALSE),0)</f>
        <v>0</v>
      </c>
      <c r="AZ77" s="35"/>
    </row>
    <row r="78" ht="15.6" customHeight="1" spans="1:52">
      <c r="A78" s="35">
        <v>268097</v>
      </c>
      <c r="B78" s="68" t="s">
        <v>159</v>
      </c>
      <c r="C78" s="35" t="str">
        <f>VLOOKUP(B78,'姓名+分部'!A:B,2,FALSE)</f>
        <v>二分部</v>
      </c>
      <c r="D78" s="57" t="s">
        <v>42</v>
      </c>
      <c r="E78" s="58" t="str">
        <f ca="1" t="shared" si="34"/>
        <v>无排名</v>
      </c>
      <c r="F78" s="35" t="str">
        <f ca="1" t="shared" si="35"/>
        <v>继续培训</v>
      </c>
      <c r="G78" s="35" t="str">
        <f t="shared" si="33"/>
        <v>B</v>
      </c>
      <c r="H78" s="59">
        <f t="shared" si="36"/>
        <v>45887</v>
      </c>
      <c r="I78" s="60">
        <v>45098</v>
      </c>
      <c r="J78" s="35">
        <f t="shared" si="37"/>
        <v>13</v>
      </c>
      <c r="K78" s="61">
        <v>45497</v>
      </c>
      <c r="L78" s="58" t="str">
        <f t="shared" si="38"/>
        <v>未完成</v>
      </c>
      <c r="M78" s="58" t="str">
        <f t="shared" si="39"/>
        <v>未完成</v>
      </c>
      <c r="N78" s="61"/>
      <c r="O78" s="58" t="str">
        <f t="shared" si="40"/>
        <v>未完成</v>
      </c>
      <c r="P78" s="58" t="str">
        <f t="shared" si="41"/>
        <v>未完成</v>
      </c>
      <c r="Q78" s="35"/>
      <c r="R78" s="35"/>
      <c r="S78" s="35" t="str">
        <f t="shared" si="42"/>
        <v>未完成</v>
      </c>
      <c r="T78" s="60"/>
      <c r="U78" s="35" t="str">
        <f t="shared" si="43"/>
        <v>未完成</v>
      </c>
      <c r="V78" s="61"/>
      <c r="W78" s="35" t="str">
        <f t="shared" si="44"/>
        <v>未完成</v>
      </c>
      <c r="X78" s="61"/>
      <c r="Y78" s="62">
        <f ca="1" t="shared" si="45"/>
        <v>20</v>
      </c>
      <c r="Z78" s="58" t="s">
        <v>75</v>
      </c>
      <c r="AA78" s="35">
        <f t="shared" si="46"/>
        <v>5</v>
      </c>
      <c r="AB78" s="58" t="s">
        <v>75</v>
      </c>
      <c r="AC78" s="35">
        <f t="shared" si="47"/>
        <v>10</v>
      </c>
      <c r="AD78" s="58" t="s">
        <v>75</v>
      </c>
      <c r="AE78" s="35">
        <f t="shared" si="48"/>
        <v>5</v>
      </c>
      <c r="AF78" s="63">
        <f t="shared" si="49"/>
        <v>10</v>
      </c>
      <c r="AG78" s="64">
        <f ca="1" t="shared" si="50"/>
        <v>0</v>
      </c>
      <c r="AH78" s="35">
        <f ca="1" t="shared" si="51"/>
        <v>0</v>
      </c>
      <c r="AI78" s="64">
        <f ca="1" t="shared" si="52"/>
        <v>0</v>
      </c>
      <c r="AJ78" s="35">
        <f ca="1" t="shared" si="53"/>
        <v>0</v>
      </c>
      <c r="AK78" s="35">
        <f t="shared" si="54"/>
        <v>0</v>
      </c>
      <c r="AL78" s="64">
        <f ca="1" t="shared" si="55"/>
        <v>0</v>
      </c>
      <c r="AM78" s="35">
        <f ca="1" t="shared" si="56"/>
        <v>0</v>
      </c>
      <c r="AN78" s="35">
        <f t="shared" si="57"/>
        <v>0</v>
      </c>
      <c r="AO78" s="64">
        <f ca="1" t="shared" si="58"/>
        <v>0</v>
      </c>
      <c r="AP78" s="35">
        <f ca="1" t="shared" si="59"/>
        <v>0</v>
      </c>
      <c r="AQ78" s="35">
        <f t="shared" si="60"/>
        <v>0</v>
      </c>
      <c r="AR78" s="64">
        <f ca="1" t="shared" si="61"/>
        <v>0</v>
      </c>
      <c r="AS78" s="35">
        <f ca="1" t="shared" si="62"/>
        <v>0</v>
      </c>
      <c r="AT78" s="65">
        <f>VLOOKUP(B78,经历时间!A:B,2,FALSE)</f>
        <v>1162.48</v>
      </c>
      <c r="AU78" s="67">
        <f t="shared" si="63"/>
        <v>0</v>
      </c>
      <c r="AV78" s="35">
        <f ca="1" t="shared" si="32"/>
        <v>30</v>
      </c>
      <c r="AW78" s="24">
        <v>0</v>
      </c>
      <c r="AX78" s="35"/>
      <c r="AY78" s="24">
        <f ca="1">IFERROR(VLOOKUP(B78,'兼职+帮忙'!B:AF,28,FALSE),0)</f>
        <v>0</v>
      </c>
      <c r="AZ78" s="35"/>
    </row>
    <row r="79" ht="15.6" customHeight="1" spans="1:52">
      <c r="A79" s="35">
        <v>276056</v>
      </c>
      <c r="B79" s="35" t="s">
        <v>160</v>
      </c>
      <c r="C79" s="35" t="str">
        <f>VLOOKUP(B79,'姓名+分部'!A:B,2,FALSE)</f>
        <v>一分部</v>
      </c>
      <c r="D79" s="57" t="s">
        <v>40</v>
      </c>
      <c r="E79" s="58" t="str">
        <f ca="1" t="shared" si="34"/>
        <v>无排名</v>
      </c>
      <c r="F79" s="35" t="str">
        <f ca="1" t="shared" si="35"/>
        <v>继续培训</v>
      </c>
      <c r="G79" s="35" t="str">
        <f t="shared" si="33"/>
        <v>A2</v>
      </c>
      <c r="H79" s="59">
        <f t="shared" si="36"/>
        <v>45919</v>
      </c>
      <c r="I79" s="69">
        <v>45799</v>
      </c>
      <c r="J79" s="35" t="str">
        <f t="shared" si="37"/>
        <v>未完成</v>
      </c>
      <c r="K79" s="59"/>
      <c r="L79" s="58" t="str">
        <f t="shared" si="38"/>
        <v>未完成</v>
      </c>
      <c r="M79" s="58" t="str">
        <f t="shared" si="39"/>
        <v>未完成</v>
      </c>
      <c r="N79" s="35"/>
      <c r="O79" s="58" t="str">
        <f t="shared" si="40"/>
        <v>未完成</v>
      </c>
      <c r="P79" s="58" t="str">
        <f t="shared" si="41"/>
        <v>未完成</v>
      </c>
      <c r="Q79" s="35"/>
      <c r="R79" s="35"/>
      <c r="S79" s="35" t="str">
        <f t="shared" si="42"/>
        <v>未完成</v>
      </c>
      <c r="T79" s="60"/>
      <c r="U79" s="35" t="str">
        <f t="shared" si="43"/>
        <v>未完成</v>
      </c>
      <c r="V79" s="35"/>
      <c r="W79" s="35" t="str">
        <f t="shared" si="44"/>
        <v>未完成</v>
      </c>
      <c r="X79" s="61"/>
      <c r="Y79" s="62">
        <f ca="1" t="shared" si="45"/>
        <v>43</v>
      </c>
      <c r="Z79" s="58" t="s">
        <v>75</v>
      </c>
      <c r="AA79" s="35">
        <f t="shared" si="46"/>
        <v>5</v>
      </c>
      <c r="AB79" s="58" t="s">
        <v>75</v>
      </c>
      <c r="AC79" s="35">
        <f t="shared" si="47"/>
        <v>10</v>
      </c>
      <c r="AD79" s="58" t="s">
        <v>75</v>
      </c>
      <c r="AE79" s="35">
        <f t="shared" si="48"/>
        <v>5</v>
      </c>
      <c r="AF79" s="63">
        <f t="shared" si="49"/>
        <v>0</v>
      </c>
      <c r="AG79" s="64">
        <f ca="1" t="shared" si="50"/>
        <v>0</v>
      </c>
      <c r="AH79" s="35">
        <f ca="1" t="shared" si="51"/>
        <v>0</v>
      </c>
      <c r="AI79" s="64">
        <f ca="1" t="shared" si="52"/>
        <v>0</v>
      </c>
      <c r="AJ79" s="35">
        <f ca="1" t="shared" si="53"/>
        <v>0</v>
      </c>
      <c r="AK79" s="35">
        <f t="shared" si="54"/>
        <v>0</v>
      </c>
      <c r="AL79" s="64">
        <f ca="1" t="shared" si="55"/>
        <v>0</v>
      </c>
      <c r="AM79" s="35">
        <f ca="1" t="shared" si="56"/>
        <v>0</v>
      </c>
      <c r="AN79" s="35">
        <f t="shared" si="57"/>
        <v>0</v>
      </c>
      <c r="AO79" s="64">
        <f ca="1" t="shared" si="58"/>
        <v>0</v>
      </c>
      <c r="AP79" s="35">
        <f ca="1" t="shared" si="59"/>
        <v>0</v>
      </c>
      <c r="AQ79" s="35">
        <f t="shared" si="60"/>
        <v>0</v>
      </c>
      <c r="AR79" s="64">
        <f ca="1" t="shared" si="61"/>
        <v>0</v>
      </c>
      <c r="AS79" s="35">
        <f ca="1" t="shared" si="62"/>
        <v>0</v>
      </c>
      <c r="AT79" s="65">
        <f>VLOOKUP(B79,经历时间!A:B,2,FALSE)</f>
        <v>1084.02</v>
      </c>
      <c r="AU79" s="67">
        <f t="shared" si="63"/>
        <v>0</v>
      </c>
      <c r="AV79" s="35">
        <f ca="1" t="shared" si="32"/>
        <v>7</v>
      </c>
      <c r="AW79" s="24">
        <v>23</v>
      </c>
      <c r="AX79" s="35"/>
      <c r="AY79" s="24">
        <f ca="1">IFERROR(VLOOKUP(B79,'兼职+帮忙'!B:AF,28,FALSE),0)</f>
        <v>0</v>
      </c>
      <c r="AZ79" s="35"/>
    </row>
    <row r="80" ht="15.6" customHeight="1" spans="1:52">
      <c r="A80" s="35">
        <v>284048</v>
      </c>
      <c r="B80" s="35" t="s">
        <v>161</v>
      </c>
      <c r="C80" s="35" t="str">
        <f>VLOOKUP(B80,'姓名+分部'!A:B,2,FALSE)</f>
        <v>三分部</v>
      </c>
      <c r="D80" s="57" t="s">
        <v>40</v>
      </c>
      <c r="E80" s="58" t="str">
        <f ca="1" t="shared" si="34"/>
        <v>无排名</v>
      </c>
      <c r="F80" s="35" t="str">
        <f ca="1" t="shared" si="35"/>
        <v>继续培训</v>
      </c>
      <c r="G80" s="35" t="str">
        <f t="shared" si="33"/>
        <v>A2</v>
      </c>
      <c r="H80" s="59">
        <f t="shared" si="36"/>
        <v>45853</v>
      </c>
      <c r="I80" s="69">
        <v>45733</v>
      </c>
      <c r="J80" s="35" t="str">
        <f t="shared" si="37"/>
        <v>未完成</v>
      </c>
      <c r="K80" s="59"/>
      <c r="L80" s="58" t="str">
        <f t="shared" si="38"/>
        <v>未完成</v>
      </c>
      <c r="M80" s="58" t="str">
        <f t="shared" si="39"/>
        <v>未完成</v>
      </c>
      <c r="N80" s="35"/>
      <c r="O80" s="58" t="str">
        <f t="shared" si="40"/>
        <v>未完成</v>
      </c>
      <c r="P80" s="58" t="str">
        <f t="shared" si="41"/>
        <v>未完成</v>
      </c>
      <c r="Q80" s="35"/>
      <c r="R80" s="35"/>
      <c r="S80" s="35" t="str">
        <f t="shared" si="42"/>
        <v>未完成</v>
      </c>
      <c r="T80" s="60"/>
      <c r="U80" s="35" t="str">
        <f t="shared" si="43"/>
        <v>未完成</v>
      </c>
      <c r="V80" s="35"/>
      <c r="W80" s="35" t="str">
        <f t="shared" si="44"/>
        <v>未完成</v>
      </c>
      <c r="X80" s="61"/>
      <c r="Y80" s="62">
        <f ca="1" t="shared" si="45"/>
        <v>42</v>
      </c>
      <c r="Z80" s="58" t="s">
        <v>75</v>
      </c>
      <c r="AA80" s="35">
        <f t="shared" si="46"/>
        <v>5</v>
      </c>
      <c r="AB80" s="58" t="s">
        <v>75</v>
      </c>
      <c r="AC80" s="35">
        <f t="shared" si="47"/>
        <v>10</v>
      </c>
      <c r="AD80" s="58" t="s">
        <v>75</v>
      </c>
      <c r="AE80" s="35">
        <f t="shared" si="48"/>
        <v>5</v>
      </c>
      <c r="AF80" s="63">
        <f t="shared" si="49"/>
        <v>0</v>
      </c>
      <c r="AG80" s="64">
        <f ca="1" t="shared" si="50"/>
        <v>0</v>
      </c>
      <c r="AH80" s="35">
        <f ca="1" t="shared" si="51"/>
        <v>0</v>
      </c>
      <c r="AI80" s="64">
        <f ca="1" t="shared" si="52"/>
        <v>0</v>
      </c>
      <c r="AJ80" s="35">
        <f ca="1" t="shared" si="53"/>
        <v>0</v>
      </c>
      <c r="AK80" s="35">
        <f t="shared" si="54"/>
        <v>0</v>
      </c>
      <c r="AL80" s="64">
        <f ca="1" t="shared" si="55"/>
        <v>0</v>
      </c>
      <c r="AM80" s="35">
        <f ca="1" t="shared" si="56"/>
        <v>0</v>
      </c>
      <c r="AN80" s="35">
        <f t="shared" si="57"/>
        <v>0</v>
      </c>
      <c r="AO80" s="64">
        <f ca="1" t="shared" si="58"/>
        <v>0</v>
      </c>
      <c r="AP80" s="35">
        <f ca="1" t="shared" si="59"/>
        <v>0</v>
      </c>
      <c r="AQ80" s="35">
        <f t="shared" si="60"/>
        <v>0</v>
      </c>
      <c r="AR80" s="64">
        <f ca="1" t="shared" si="61"/>
        <v>0</v>
      </c>
      <c r="AS80" s="35">
        <f ca="1" t="shared" si="62"/>
        <v>0</v>
      </c>
      <c r="AT80" s="65">
        <f>VLOOKUP(B80,经历时间!A:B,2,FALSE)</f>
        <v>804.43</v>
      </c>
      <c r="AU80" s="67">
        <f t="shared" si="63"/>
        <v>0</v>
      </c>
      <c r="AV80" s="35">
        <f ca="1" t="shared" si="32"/>
        <v>9</v>
      </c>
      <c r="AW80" s="24">
        <v>22</v>
      </c>
      <c r="AX80" s="35"/>
      <c r="AY80" s="24">
        <f ca="1">IFERROR(VLOOKUP(B80,'兼职+帮忙'!B:AF,28,FALSE),0)</f>
        <v>0</v>
      </c>
      <c r="AZ80" s="35"/>
    </row>
    <row r="81" ht="15.6" customHeight="1" spans="1:52">
      <c r="A81" s="35">
        <v>288733</v>
      </c>
      <c r="B81" s="35" t="s">
        <v>162</v>
      </c>
      <c r="C81" s="35" t="str">
        <f>VLOOKUP(B81,'姓名+分部'!A:B,2,FALSE)</f>
        <v>三分部</v>
      </c>
      <c r="D81" s="57" t="s">
        <v>40</v>
      </c>
      <c r="E81" s="58" t="str">
        <f ca="1" t="shared" si="34"/>
        <v>无排名</v>
      </c>
      <c r="F81" s="35" t="str">
        <f ca="1" t="shared" si="35"/>
        <v>继续培训</v>
      </c>
      <c r="G81" s="35" t="str">
        <f t="shared" si="33"/>
        <v>A2</v>
      </c>
      <c r="H81" s="59">
        <f t="shared" si="36"/>
        <v>45853</v>
      </c>
      <c r="I81" s="69">
        <v>45733</v>
      </c>
      <c r="J81" s="35" t="str">
        <f t="shared" si="37"/>
        <v>未完成</v>
      </c>
      <c r="K81" s="59"/>
      <c r="L81" s="58" t="str">
        <f t="shared" si="38"/>
        <v>未完成</v>
      </c>
      <c r="M81" s="58" t="str">
        <f t="shared" si="39"/>
        <v>未完成</v>
      </c>
      <c r="N81" s="35"/>
      <c r="O81" s="58" t="str">
        <f t="shared" si="40"/>
        <v>未完成</v>
      </c>
      <c r="P81" s="58" t="str">
        <f t="shared" si="41"/>
        <v>未完成</v>
      </c>
      <c r="Q81" s="35"/>
      <c r="R81" s="35"/>
      <c r="S81" s="35" t="str">
        <f t="shared" si="42"/>
        <v>未完成</v>
      </c>
      <c r="T81" s="60"/>
      <c r="U81" s="35" t="str">
        <f t="shared" si="43"/>
        <v>未完成</v>
      </c>
      <c r="V81" s="35"/>
      <c r="W81" s="35" t="str">
        <f t="shared" si="44"/>
        <v>未完成</v>
      </c>
      <c r="X81" s="61"/>
      <c r="Y81" s="62">
        <f ca="1" t="shared" si="45"/>
        <v>41</v>
      </c>
      <c r="Z81" s="58" t="s">
        <v>75</v>
      </c>
      <c r="AA81" s="35">
        <f t="shared" si="46"/>
        <v>5</v>
      </c>
      <c r="AB81" s="58" t="s">
        <v>75</v>
      </c>
      <c r="AC81" s="35">
        <f t="shared" si="47"/>
        <v>10</v>
      </c>
      <c r="AD81" s="58" t="s">
        <v>75</v>
      </c>
      <c r="AE81" s="35">
        <f t="shared" si="48"/>
        <v>5</v>
      </c>
      <c r="AF81" s="63">
        <f t="shared" si="49"/>
        <v>0</v>
      </c>
      <c r="AG81" s="64">
        <f ca="1" t="shared" si="50"/>
        <v>0</v>
      </c>
      <c r="AH81" s="35">
        <f ca="1" t="shared" si="51"/>
        <v>0</v>
      </c>
      <c r="AI81" s="64">
        <f ca="1" t="shared" si="52"/>
        <v>0</v>
      </c>
      <c r="AJ81" s="35">
        <f ca="1" t="shared" si="53"/>
        <v>0</v>
      </c>
      <c r="AK81" s="35">
        <f t="shared" si="54"/>
        <v>0</v>
      </c>
      <c r="AL81" s="64">
        <f ca="1" t="shared" si="55"/>
        <v>0</v>
      </c>
      <c r="AM81" s="35">
        <f ca="1" t="shared" si="56"/>
        <v>0</v>
      </c>
      <c r="AN81" s="35">
        <f t="shared" si="57"/>
        <v>0</v>
      </c>
      <c r="AO81" s="64">
        <f ca="1" t="shared" si="58"/>
        <v>0</v>
      </c>
      <c r="AP81" s="35">
        <f ca="1" t="shared" si="59"/>
        <v>0</v>
      </c>
      <c r="AQ81" s="35">
        <f t="shared" si="60"/>
        <v>0</v>
      </c>
      <c r="AR81" s="64">
        <f ca="1" t="shared" si="61"/>
        <v>0</v>
      </c>
      <c r="AS81" s="35">
        <f ca="1" t="shared" si="62"/>
        <v>0</v>
      </c>
      <c r="AT81" s="65">
        <f>VLOOKUP(B81,经历时间!A:B,2,FALSE)</f>
        <v>706.21</v>
      </c>
      <c r="AU81" s="67">
        <f t="shared" si="63"/>
        <v>0</v>
      </c>
      <c r="AV81" s="35">
        <f ca="1" t="shared" si="32"/>
        <v>9</v>
      </c>
      <c r="AW81" s="24">
        <v>21</v>
      </c>
      <c r="AX81" s="35"/>
      <c r="AY81" s="24">
        <f ca="1">IFERROR(VLOOKUP(B81,'兼职+帮忙'!B:AF,28,FALSE),0)</f>
        <v>0</v>
      </c>
      <c r="AZ81" s="35"/>
    </row>
    <row r="82" ht="15.6" customHeight="1" spans="1:52">
      <c r="A82" s="34">
        <v>269965</v>
      </c>
      <c r="B82" s="70" t="s">
        <v>163</v>
      </c>
      <c r="C82" s="35" t="str">
        <f>VLOOKUP(B82,'姓名+分部'!A:B,2,FALSE)</f>
        <v>二分部</v>
      </c>
      <c r="D82" s="57" t="s">
        <v>45</v>
      </c>
      <c r="E82" s="58" t="str">
        <f ca="1" t="shared" si="34"/>
        <v>无排名</v>
      </c>
      <c r="F82" s="35" t="str">
        <f ca="1" t="shared" si="35"/>
        <v>继续培训</v>
      </c>
      <c r="G82" s="35" t="str">
        <f t="shared" si="33"/>
        <v>不考核</v>
      </c>
      <c r="H82" s="59" t="str">
        <f t="shared" si="36"/>
        <v>完成考核</v>
      </c>
      <c r="I82" s="69">
        <v>44641</v>
      </c>
      <c r="J82" s="35">
        <f t="shared" si="37"/>
        <v>13</v>
      </c>
      <c r="K82" s="59">
        <v>45056</v>
      </c>
      <c r="L82" s="58">
        <f t="shared" si="38"/>
        <v>38</v>
      </c>
      <c r="M82" s="58">
        <f t="shared" si="39"/>
        <v>24</v>
      </c>
      <c r="N82" s="59">
        <v>45812</v>
      </c>
      <c r="O82" s="58" t="str">
        <f t="shared" si="40"/>
        <v>未完成</v>
      </c>
      <c r="P82" s="58" t="str">
        <f t="shared" si="41"/>
        <v>未完成</v>
      </c>
      <c r="Q82" s="35"/>
      <c r="R82" s="35"/>
      <c r="S82" s="35" t="str">
        <f t="shared" si="42"/>
        <v>未完成</v>
      </c>
      <c r="T82" s="60"/>
      <c r="U82" s="35" t="str">
        <f t="shared" si="43"/>
        <v>未完成</v>
      </c>
      <c r="V82" s="35"/>
      <c r="W82" s="35" t="str">
        <f t="shared" si="44"/>
        <v>未完成</v>
      </c>
      <c r="X82" s="61"/>
      <c r="Y82" s="62">
        <f ca="1" t="shared" si="45"/>
        <v>50</v>
      </c>
      <c r="Z82" s="58" t="s">
        <v>75</v>
      </c>
      <c r="AA82" s="35">
        <f t="shared" si="46"/>
        <v>5</v>
      </c>
      <c r="AB82" s="58" t="s">
        <v>75</v>
      </c>
      <c r="AC82" s="35">
        <f t="shared" si="47"/>
        <v>10</v>
      </c>
      <c r="AD82" s="58" t="s">
        <v>75</v>
      </c>
      <c r="AE82" s="35">
        <f t="shared" si="48"/>
        <v>5</v>
      </c>
      <c r="AF82" s="63">
        <f t="shared" si="49"/>
        <v>20</v>
      </c>
      <c r="AG82" s="64">
        <f ca="1" t="shared" si="50"/>
        <v>7</v>
      </c>
      <c r="AH82" s="35">
        <f ca="1" t="shared" si="51"/>
        <v>21</v>
      </c>
      <c r="AI82" s="64">
        <f ca="1" t="shared" si="52"/>
        <v>0</v>
      </c>
      <c r="AJ82" s="35">
        <f ca="1" t="shared" si="53"/>
        <v>0</v>
      </c>
      <c r="AK82" s="35">
        <f t="shared" si="54"/>
        <v>0</v>
      </c>
      <c r="AL82" s="64">
        <f ca="1" t="shared" si="55"/>
        <v>0</v>
      </c>
      <c r="AM82" s="35">
        <f ca="1" t="shared" si="56"/>
        <v>0</v>
      </c>
      <c r="AN82" s="35">
        <f t="shared" si="57"/>
        <v>0</v>
      </c>
      <c r="AO82" s="64">
        <f ca="1" t="shared" si="58"/>
        <v>0</v>
      </c>
      <c r="AP82" s="35">
        <f ca="1" t="shared" si="59"/>
        <v>0</v>
      </c>
      <c r="AQ82" s="35">
        <f t="shared" si="60"/>
        <v>0</v>
      </c>
      <c r="AR82" s="64">
        <f ca="1" t="shared" si="61"/>
        <v>0</v>
      </c>
      <c r="AS82" s="35">
        <f ca="1" t="shared" si="62"/>
        <v>0</v>
      </c>
      <c r="AT82" s="65">
        <f>VLOOKUP(B82,经历时间!A:B,2,FALSE)</f>
        <v>1277.12</v>
      </c>
      <c r="AU82" s="67">
        <f t="shared" si="63"/>
        <v>0</v>
      </c>
      <c r="AV82" s="35">
        <f ca="1" t="shared" si="32"/>
        <v>45</v>
      </c>
      <c r="AW82" s="24">
        <v>9</v>
      </c>
      <c r="AX82" s="35"/>
      <c r="AY82" s="24">
        <f ca="1">IFERROR(VLOOKUP(B82,'兼职+帮忙'!B:AF,28,FALSE),0)</f>
        <v>0</v>
      </c>
      <c r="AZ82" s="35"/>
    </row>
    <row r="83" ht="15.6" customHeight="1" spans="1:52">
      <c r="A83" s="35">
        <v>284332</v>
      </c>
      <c r="B83" s="35" t="s">
        <v>164</v>
      </c>
      <c r="C83" s="35" t="str">
        <f>VLOOKUP(B83,'姓名+分部'!A:B,2,FALSE)</f>
        <v>三分部</v>
      </c>
      <c r="D83" s="57" t="s">
        <v>40</v>
      </c>
      <c r="E83" s="58" t="str">
        <f ca="1" t="shared" si="34"/>
        <v>无排名</v>
      </c>
      <c r="F83" s="35" t="str">
        <f ca="1" t="shared" si="35"/>
        <v>继续培训</v>
      </c>
      <c r="G83" s="35" t="str">
        <f t="shared" si="33"/>
        <v>A2</v>
      </c>
      <c r="H83" s="59">
        <f t="shared" si="36"/>
        <v>45855</v>
      </c>
      <c r="I83" s="69">
        <v>45735</v>
      </c>
      <c r="J83" s="35" t="str">
        <f t="shared" si="37"/>
        <v>未完成</v>
      </c>
      <c r="K83" s="59"/>
      <c r="L83" s="58" t="str">
        <f t="shared" si="38"/>
        <v>未完成</v>
      </c>
      <c r="M83" s="58" t="str">
        <f t="shared" si="39"/>
        <v>未完成</v>
      </c>
      <c r="N83" s="35"/>
      <c r="O83" s="58" t="str">
        <f t="shared" si="40"/>
        <v>未完成</v>
      </c>
      <c r="P83" s="58" t="str">
        <f t="shared" si="41"/>
        <v>未完成</v>
      </c>
      <c r="Q83" s="35"/>
      <c r="R83" s="35"/>
      <c r="S83" s="35" t="str">
        <f t="shared" si="42"/>
        <v>未完成</v>
      </c>
      <c r="T83" s="60"/>
      <c r="U83" s="35" t="str">
        <f t="shared" si="43"/>
        <v>未完成</v>
      </c>
      <c r="V83" s="35"/>
      <c r="W83" s="35" t="str">
        <f t="shared" si="44"/>
        <v>未完成</v>
      </c>
      <c r="X83" s="61"/>
      <c r="Y83" s="62">
        <f ca="1" t="shared" si="45"/>
        <v>39</v>
      </c>
      <c r="Z83" s="58" t="s">
        <v>75</v>
      </c>
      <c r="AA83" s="35">
        <f t="shared" si="46"/>
        <v>5</v>
      </c>
      <c r="AB83" s="58" t="s">
        <v>75</v>
      </c>
      <c r="AC83" s="35">
        <f t="shared" si="47"/>
        <v>10</v>
      </c>
      <c r="AD83" s="58" t="s">
        <v>75</v>
      </c>
      <c r="AE83" s="35">
        <f t="shared" si="48"/>
        <v>5</v>
      </c>
      <c r="AF83" s="63">
        <f t="shared" si="49"/>
        <v>0</v>
      </c>
      <c r="AG83" s="64">
        <f ca="1" t="shared" si="50"/>
        <v>0</v>
      </c>
      <c r="AH83" s="35">
        <f ca="1" t="shared" si="51"/>
        <v>0</v>
      </c>
      <c r="AI83" s="64">
        <f ca="1" t="shared" si="52"/>
        <v>0</v>
      </c>
      <c r="AJ83" s="35">
        <f ca="1" t="shared" si="53"/>
        <v>0</v>
      </c>
      <c r="AK83" s="35">
        <f t="shared" si="54"/>
        <v>0</v>
      </c>
      <c r="AL83" s="64">
        <f ca="1" t="shared" si="55"/>
        <v>0</v>
      </c>
      <c r="AM83" s="35">
        <f ca="1" t="shared" si="56"/>
        <v>0</v>
      </c>
      <c r="AN83" s="35">
        <f t="shared" si="57"/>
        <v>0</v>
      </c>
      <c r="AO83" s="64">
        <f ca="1" t="shared" si="58"/>
        <v>0</v>
      </c>
      <c r="AP83" s="35">
        <f ca="1" t="shared" si="59"/>
        <v>0</v>
      </c>
      <c r="AQ83" s="35">
        <f t="shared" si="60"/>
        <v>0</v>
      </c>
      <c r="AR83" s="64">
        <f ca="1" t="shared" si="61"/>
        <v>0</v>
      </c>
      <c r="AS83" s="35">
        <f ca="1" t="shared" si="62"/>
        <v>0</v>
      </c>
      <c r="AT83" s="65">
        <f>VLOOKUP(B83,经历时间!A:B,2,FALSE)</f>
        <v>663.16</v>
      </c>
      <c r="AU83" s="67">
        <f t="shared" si="63"/>
        <v>0</v>
      </c>
      <c r="AV83" s="35">
        <f ca="1" t="shared" si="32"/>
        <v>9</v>
      </c>
      <c r="AW83" s="24">
        <v>19</v>
      </c>
      <c r="AX83" s="35"/>
      <c r="AY83" s="24">
        <f ca="1">IFERROR(VLOOKUP(B83,'兼职+帮忙'!B:AF,28,FALSE),0)</f>
        <v>0</v>
      </c>
      <c r="AZ83" s="35"/>
    </row>
    <row r="84" ht="15.6" customHeight="1" spans="1:52">
      <c r="A84" s="34">
        <v>263409</v>
      </c>
      <c r="B84" s="70" t="s">
        <v>165</v>
      </c>
      <c r="C84" s="35" t="str">
        <f>VLOOKUP(B84,'姓名+分部'!A:B,2,FALSE)</f>
        <v>三分部</v>
      </c>
      <c r="D84" s="57" t="s">
        <v>42</v>
      </c>
      <c r="E84" s="58" t="str">
        <f ca="1" t="shared" si="34"/>
        <v>无排名</v>
      </c>
      <c r="F84" s="35" t="str">
        <f ca="1" t="shared" si="35"/>
        <v>继续培训</v>
      </c>
      <c r="G84" s="35" t="str">
        <f t="shared" si="33"/>
        <v>B</v>
      </c>
      <c r="H84" s="59">
        <f t="shared" si="36"/>
        <v>45299</v>
      </c>
      <c r="I84" s="69">
        <v>44640</v>
      </c>
      <c r="J84" s="35">
        <f t="shared" si="37"/>
        <v>8</v>
      </c>
      <c r="K84" s="59">
        <v>44909</v>
      </c>
      <c r="L84" s="58" t="str">
        <f t="shared" si="38"/>
        <v>未完成</v>
      </c>
      <c r="M84" s="58" t="str">
        <f t="shared" si="39"/>
        <v>未完成</v>
      </c>
      <c r="N84" s="35"/>
      <c r="O84" s="58" t="str">
        <f t="shared" si="40"/>
        <v>未完成</v>
      </c>
      <c r="P84" s="58" t="str">
        <f t="shared" si="41"/>
        <v>未完成</v>
      </c>
      <c r="Q84" s="35"/>
      <c r="R84" s="35"/>
      <c r="S84" s="35" t="str">
        <f t="shared" si="42"/>
        <v>未完成</v>
      </c>
      <c r="T84" s="60"/>
      <c r="U84" s="35" t="str">
        <f t="shared" si="43"/>
        <v>未完成</v>
      </c>
      <c r="V84" s="35"/>
      <c r="W84" s="35" t="str">
        <f t="shared" si="44"/>
        <v>未完成</v>
      </c>
      <c r="X84" s="61"/>
      <c r="Y84" s="62">
        <f ca="1" t="shared" si="45"/>
        <v>28</v>
      </c>
      <c r="Z84" s="58" t="s">
        <v>75</v>
      </c>
      <c r="AA84" s="35">
        <f t="shared" si="46"/>
        <v>5</v>
      </c>
      <c r="AB84" s="58" t="s">
        <v>75</v>
      </c>
      <c r="AC84" s="35">
        <f t="shared" si="47"/>
        <v>10</v>
      </c>
      <c r="AD84" s="58" t="s">
        <v>75</v>
      </c>
      <c r="AE84" s="35">
        <f t="shared" si="48"/>
        <v>5</v>
      </c>
      <c r="AF84" s="63">
        <f t="shared" si="49"/>
        <v>10</v>
      </c>
      <c r="AG84" s="64">
        <f ca="1" t="shared" si="50"/>
        <v>0</v>
      </c>
      <c r="AH84" s="35">
        <f ca="1" t="shared" si="51"/>
        <v>0</v>
      </c>
      <c r="AI84" s="64">
        <f ca="1" t="shared" si="52"/>
        <v>0</v>
      </c>
      <c r="AJ84" s="35">
        <f ca="1" t="shared" si="53"/>
        <v>0</v>
      </c>
      <c r="AK84" s="35">
        <f t="shared" si="54"/>
        <v>0</v>
      </c>
      <c r="AL84" s="64">
        <f ca="1" t="shared" si="55"/>
        <v>0</v>
      </c>
      <c r="AM84" s="35">
        <f ca="1" t="shared" si="56"/>
        <v>0</v>
      </c>
      <c r="AN84" s="35">
        <f t="shared" si="57"/>
        <v>0</v>
      </c>
      <c r="AO84" s="64">
        <f ca="1" t="shared" si="58"/>
        <v>0</v>
      </c>
      <c r="AP84" s="35">
        <f ca="1" t="shared" si="59"/>
        <v>0</v>
      </c>
      <c r="AQ84" s="35">
        <f t="shared" si="60"/>
        <v>0</v>
      </c>
      <c r="AR84" s="64">
        <f ca="1" t="shared" si="61"/>
        <v>0</v>
      </c>
      <c r="AS84" s="35">
        <f ca="1" t="shared" si="62"/>
        <v>0</v>
      </c>
      <c r="AT84" s="65">
        <f>VLOOKUP(B84,经历时间!A:B,2,FALSE)</f>
        <v>1478.06</v>
      </c>
      <c r="AU84" s="67">
        <f t="shared" si="63"/>
        <v>0</v>
      </c>
      <c r="AV84" s="35">
        <f ca="1" t="shared" si="32"/>
        <v>45</v>
      </c>
      <c r="AW84" s="24">
        <v>8</v>
      </c>
      <c r="AX84" s="35"/>
      <c r="AY84" s="24">
        <f ca="1">IFERROR(VLOOKUP(B84,'兼职+帮忙'!B:AF,28,FALSE),0)</f>
        <v>0</v>
      </c>
      <c r="AZ84" s="35"/>
    </row>
    <row r="85" ht="15.6" customHeight="1" spans="1:52">
      <c r="A85" s="35">
        <v>284331</v>
      </c>
      <c r="B85" s="35" t="s">
        <v>166</v>
      </c>
      <c r="C85" s="35" t="str">
        <f>VLOOKUP(B85,'姓名+分部'!A:B,2,FALSE)</f>
        <v>三分部</v>
      </c>
      <c r="D85" s="57" t="s">
        <v>40</v>
      </c>
      <c r="E85" s="58" t="str">
        <f ca="1" t="shared" si="34"/>
        <v>无排名</v>
      </c>
      <c r="F85" s="35" t="str">
        <f ca="1" t="shared" si="35"/>
        <v>继续培训</v>
      </c>
      <c r="G85" s="35" t="str">
        <f t="shared" si="33"/>
        <v>A2</v>
      </c>
      <c r="H85" s="59">
        <f t="shared" si="36"/>
        <v>45850</v>
      </c>
      <c r="I85" s="69">
        <v>45730</v>
      </c>
      <c r="J85" s="35" t="str">
        <f t="shared" si="37"/>
        <v>未完成</v>
      </c>
      <c r="K85" s="59"/>
      <c r="L85" s="58" t="str">
        <f t="shared" si="38"/>
        <v>未完成</v>
      </c>
      <c r="M85" s="58" t="str">
        <f t="shared" si="39"/>
        <v>未完成</v>
      </c>
      <c r="N85" s="35"/>
      <c r="O85" s="58" t="str">
        <f t="shared" si="40"/>
        <v>未完成</v>
      </c>
      <c r="P85" s="58" t="str">
        <f t="shared" si="41"/>
        <v>未完成</v>
      </c>
      <c r="Q85" s="35"/>
      <c r="R85" s="35"/>
      <c r="S85" s="35" t="str">
        <f t="shared" si="42"/>
        <v>未完成</v>
      </c>
      <c r="T85" s="60"/>
      <c r="U85" s="35" t="str">
        <f t="shared" si="43"/>
        <v>未完成</v>
      </c>
      <c r="V85" s="35"/>
      <c r="W85" s="35" t="str">
        <f t="shared" si="44"/>
        <v>未完成</v>
      </c>
      <c r="X85" s="61"/>
      <c r="Y85" s="62">
        <f ca="1" t="shared" si="45"/>
        <v>38</v>
      </c>
      <c r="Z85" s="58" t="s">
        <v>75</v>
      </c>
      <c r="AA85" s="35">
        <f t="shared" si="46"/>
        <v>5</v>
      </c>
      <c r="AB85" s="58" t="s">
        <v>75</v>
      </c>
      <c r="AC85" s="35">
        <f t="shared" si="47"/>
        <v>10</v>
      </c>
      <c r="AD85" s="58" t="s">
        <v>75</v>
      </c>
      <c r="AE85" s="35">
        <f t="shared" si="48"/>
        <v>5</v>
      </c>
      <c r="AF85" s="63">
        <f t="shared" si="49"/>
        <v>0</v>
      </c>
      <c r="AG85" s="64">
        <f ca="1" t="shared" si="50"/>
        <v>0</v>
      </c>
      <c r="AH85" s="35">
        <f ca="1" t="shared" si="51"/>
        <v>0</v>
      </c>
      <c r="AI85" s="64">
        <f ca="1" t="shared" si="52"/>
        <v>0</v>
      </c>
      <c r="AJ85" s="35">
        <f ca="1" t="shared" si="53"/>
        <v>0</v>
      </c>
      <c r="AK85" s="35">
        <f t="shared" si="54"/>
        <v>0</v>
      </c>
      <c r="AL85" s="64">
        <f ca="1" t="shared" si="55"/>
        <v>0</v>
      </c>
      <c r="AM85" s="35">
        <f ca="1" t="shared" si="56"/>
        <v>0</v>
      </c>
      <c r="AN85" s="35">
        <f t="shared" si="57"/>
        <v>0</v>
      </c>
      <c r="AO85" s="64">
        <f ca="1" t="shared" si="58"/>
        <v>0</v>
      </c>
      <c r="AP85" s="35">
        <f ca="1" t="shared" si="59"/>
        <v>0</v>
      </c>
      <c r="AQ85" s="35">
        <f t="shared" si="60"/>
        <v>0</v>
      </c>
      <c r="AR85" s="64">
        <f ca="1" t="shared" si="61"/>
        <v>0</v>
      </c>
      <c r="AS85" s="35">
        <f ca="1" t="shared" si="62"/>
        <v>0</v>
      </c>
      <c r="AT85" s="65">
        <f>VLOOKUP(B85,经历时间!A:B,2,FALSE)</f>
        <v>777.21</v>
      </c>
      <c r="AU85" s="67">
        <f t="shared" si="63"/>
        <v>0</v>
      </c>
      <c r="AV85" s="35">
        <f ca="1" t="shared" si="32"/>
        <v>10</v>
      </c>
      <c r="AW85" s="24">
        <v>18</v>
      </c>
      <c r="AX85" s="35"/>
      <c r="AY85" s="24">
        <f ca="1">IFERROR(VLOOKUP(B85,'兼职+帮忙'!B:AF,28,FALSE),0)</f>
        <v>0</v>
      </c>
      <c r="AZ85" s="35"/>
    </row>
    <row r="86" ht="15.6" customHeight="1" spans="1:52">
      <c r="A86" s="34">
        <v>280959</v>
      </c>
      <c r="B86" s="70" t="s">
        <v>167</v>
      </c>
      <c r="C86" s="35" t="str">
        <f>VLOOKUP(B86,'姓名+分部'!A:B,2,FALSE)</f>
        <v>一分部</v>
      </c>
      <c r="D86" s="57" t="s">
        <v>45</v>
      </c>
      <c r="E86" s="58" t="str">
        <f ca="1" t="shared" si="34"/>
        <v>无排名</v>
      </c>
      <c r="F86" s="35" t="str">
        <f ca="1" t="shared" si="35"/>
        <v>继续培训</v>
      </c>
      <c r="G86" s="35" t="str">
        <f t="shared" si="33"/>
        <v>不考核</v>
      </c>
      <c r="H86" s="59" t="str">
        <f t="shared" si="36"/>
        <v>完成考核</v>
      </c>
      <c r="I86" s="69">
        <v>45412</v>
      </c>
      <c r="J86" s="35">
        <f t="shared" si="37"/>
        <v>11</v>
      </c>
      <c r="K86" s="59">
        <v>45750</v>
      </c>
      <c r="L86" s="58">
        <f t="shared" si="38"/>
        <v>17</v>
      </c>
      <c r="M86" s="58">
        <f t="shared" si="39"/>
        <v>6</v>
      </c>
      <c r="N86" s="59">
        <v>45945</v>
      </c>
      <c r="O86" s="58" t="str">
        <f t="shared" si="40"/>
        <v>未完成</v>
      </c>
      <c r="P86" s="58" t="str">
        <f t="shared" si="41"/>
        <v>未完成</v>
      </c>
      <c r="Q86" s="35"/>
      <c r="R86" s="35"/>
      <c r="S86" s="35">
        <f t="shared" si="42"/>
        <v>14</v>
      </c>
      <c r="T86" s="60">
        <v>45865</v>
      </c>
      <c r="U86" s="35" t="str">
        <f t="shared" si="43"/>
        <v>未完成</v>
      </c>
      <c r="V86" s="35"/>
      <c r="W86" s="35" t="str">
        <f t="shared" si="44"/>
        <v>未完成</v>
      </c>
      <c r="X86" s="61"/>
      <c r="Y86" s="62">
        <f ca="1" t="shared" si="45"/>
        <v>65</v>
      </c>
      <c r="Z86" s="58" t="s">
        <v>75</v>
      </c>
      <c r="AA86" s="35">
        <f t="shared" si="46"/>
        <v>5</v>
      </c>
      <c r="AB86" s="58" t="s">
        <v>75</v>
      </c>
      <c r="AC86" s="35">
        <f t="shared" si="47"/>
        <v>10</v>
      </c>
      <c r="AD86" s="58" t="s">
        <v>75</v>
      </c>
      <c r="AE86" s="35">
        <f t="shared" si="48"/>
        <v>5</v>
      </c>
      <c r="AF86" s="63">
        <f t="shared" si="49"/>
        <v>20</v>
      </c>
      <c r="AG86" s="64">
        <f ca="1" t="shared" si="50"/>
        <v>3</v>
      </c>
      <c r="AH86" s="35">
        <f ca="1" t="shared" si="51"/>
        <v>9</v>
      </c>
      <c r="AI86" s="64">
        <f ca="1" t="shared" si="52"/>
        <v>0</v>
      </c>
      <c r="AJ86" s="35">
        <f ca="1" t="shared" si="53"/>
        <v>0</v>
      </c>
      <c r="AK86" s="35">
        <f t="shared" si="54"/>
        <v>10</v>
      </c>
      <c r="AL86" s="64">
        <f ca="1" t="shared" si="55"/>
        <v>5</v>
      </c>
      <c r="AM86" s="35">
        <f ca="1" t="shared" si="56"/>
        <v>30</v>
      </c>
      <c r="AN86" s="35">
        <f t="shared" si="57"/>
        <v>0</v>
      </c>
      <c r="AO86" s="64">
        <f ca="1" t="shared" si="58"/>
        <v>0</v>
      </c>
      <c r="AP86" s="35">
        <f ca="1" t="shared" si="59"/>
        <v>0</v>
      </c>
      <c r="AQ86" s="35">
        <f t="shared" si="60"/>
        <v>0</v>
      </c>
      <c r="AR86" s="64">
        <f ca="1" t="shared" si="61"/>
        <v>0</v>
      </c>
      <c r="AS86" s="35">
        <f ca="1" t="shared" si="62"/>
        <v>0</v>
      </c>
      <c r="AT86" s="65">
        <f>VLOOKUP(B86,经历时间!A:B,2,FALSE)</f>
        <v>760</v>
      </c>
      <c r="AU86" s="67">
        <f t="shared" si="63"/>
        <v>0</v>
      </c>
      <c r="AV86" s="35">
        <f ca="1" t="shared" si="32"/>
        <v>20</v>
      </c>
      <c r="AW86" s="24">
        <v>6</v>
      </c>
      <c r="AX86" s="35"/>
      <c r="AY86" s="24">
        <f ca="1">IFERROR(VLOOKUP(B86,'兼职+帮忙'!B:AF,28,FALSE),0)</f>
        <v>0</v>
      </c>
      <c r="AZ86" s="35"/>
    </row>
    <row r="87" ht="15.6" customHeight="1" spans="1:52">
      <c r="A87" s="34">
        <v>261778</v>
      </c>
      <c r="B87" s="70" t="s">
        <v>168</v>
      </c>
      <c r="C87" s="35" t="str">
        <f>VLOOKUP(B87,'姓名+分部'!A:B,2,FALSE)</f>
        <v>一分部</v>
      </c>
      <c r="D87" s="57" t="s">
        <v>40</v>
      </c>
      <c r="E87" s="58" t="str">
        <f ca="1" t="shared" si="34"/>
        <v>无排名</v>
      </c>
      <c r="F87" s="35" t="str">
        <f ca="1" t="shared" si="35"/>
        <v>继续培训</v>
      </c>
      <c r="G87" s="35" t="str">
        <f t="shared" si="33"/>
        <v>A2</v>
      </c>
      <c r="H87" s="59">
        <f t="shared" si="36"/>
        <v>45624</v>
      </c>
      <c r="I87" s="60">
        <v>45504</v>
      </c>
      <c r="J87" s="35" t="str">
        <f t="shared" si="37"/>
        <v>未完成</v>
      </c>
      <c r="K87" s="35"/>
      <c r="L87" s="58" t="str">
        <f t="shared" si="38"/>
        <v>未完成</v>
      </c>
      <c r="M87" s="58" t="str">
        <f t="shared" si="39"/>
        <v>未完成</v>
      </c>
      <c r="N87" s="35"/>
      <c r="O87" s="58" t="str">
        <f t="shared" si="40"/>
        <v>未完成</v>
      </c>
      <c r="P87" s="58" t="str">
        <f t="shared" si="41"/>
        <v>未完成</v>
      </c>
      <c r="Q87" s="35"/>
      <c r="R87" s="35"/>
      <c r="S87" s="35" t="str">
        <f t="shared" si="42"/>
        <v>未完成</v>
      </c>
      <c r="T87" s="35"/>
      <c r="U87" s="35" t="str">
        <f t="shared" si="43"/>
        <v>未完成</v>
      </c>
      <c r="V87" s="61"/>
      <c r="W87" s="35" t="str">
        <f t="shared" si="44"/>
        <v>未完成</v>
      </c>
      <c r="X87" s="61"/>
      <c r="Y87" s="62">
        <f ca="1" t="shared" si="45"/>
        <v>20</v>
      </c>
      <c r="Z87" s="58" t="s">
        <v>75</v>
      </c>
      <c r="AA87" s="35">
        <f t="shared" si="46"/>
        <v>5</v>
      </c>
      <c r="AB87" s="58" t="s">
        <v>75</v>
      </c>
      <c r="AC87" s="35">
        <f t="shared" si="47"/>
        <v>10</v>
      </c>
      <c r="AD87" s="58" t="s">
        <v>75</v>
      </c>
      <c r="AE87" s="35">
        <f t="shared" si="48"/>
        <v>5</v>
      </c>
      <c r="AF87" s="63">
        <f t="shared" si="49"/>
        <v>0</v>
      </c>
      <c r="AG87" s="64">
        <f ca="1" t="shared" si="50"/>
        <v>0</v>
      </c>
      <c r="AH87" s="35">
        <f ca="1" t="shared" si="51"/>
        <v>0</v>
      </c>
      <c r="AI87" s="64">
        <f ca="1" t="shared" si="52"/>
        <v>0</v>
      </c>
      <c r="AJ87" s="35">
        <f ca="1" t="shared" si="53"/>
        <v>0</v>
      </c>
      <c r="AK87" s="35">
        <f t="shared" si="54"/>
        <v>0</v>
      </c>
      <c r="AL87" s="64">
        <f ca="1" t="shared" si="55"/>
        <v>0</v>
      </c>
      <c r="AM87" s="35">
        <f ca="1" t="shared" si="56"/>
        <v>0</v>
      </c>
      <c r="AN87" s="35">
        <f t="shared" si="57"/>
        <v>0</v>
      </c>
      <c r="AO87" s="64">
        <f ca="1" t="shared" si="58"/>
        <v>0</v>
      </c>
      <c r="AP87" s="35">
        <f ca="1" t="shared" si="59"/>
        <v>0</v>
      </c>
      <c r="AQ87" s="35">
        <f t="shared" si="60"/>
        <v>0</v>
      </c>
      <c r="AR87" s="64">
        <f ca="1" t="shared" si="61"/>
        <v>0</v>
      </c>
      <c r="AS87" s="35">
        <f ca="1" t="shared" si="62"/>
        <v>0</v>
      </c>
      <c r="AT87" s="65">
        <f>VLOOKUP(B87,经历时间!A:B,2,FALSE)</f>
        <v>2196.29</v>
      </c>
      <c r="AU87" s="67">
        <f t="shared" si="63"/>
        <v>0</v>
      </c>
      <c r="AV87" s="35">
        <f ca="1" t="shared" si="32"/>
        <v>17</v>
      </c>
      <c r="AW87" s="24">
        <v>0</v>
      </c>
      <c r="AX87" s="35"/>
      <c r="AY87" s="24">
        <f ca="1">IFERROR(VLOOKUP(B87,'兼职+帮忙'!B:AF,28,FALSE),0)</f>
        <v>0</v>
      </c>
      <c r="AZ87" s="35"/>
    </row>
    <row r="88" ht="15.6" customHeight="1" spans="1:52">
      <c r="A88" s="35">
        <v>284330</v>
      </c>
      <c r="B88" s="35" t="s">
        <v>169</v>
      </c>
      <c r="C88" s="35" t="str">
        <f>VLOOKUP(B88,'姓名+分部'!A:B,2,FALSE)</f>
        <v>三分部</v>
      </c>
      <c r="D88" s="57" t="s">
        <v>40</v>
      </c>
      <c r="E88" s="58" t="str">
        <f ca="1" t="shared" si="34"/>
        <v>无排名</v>
      </c>
      <c r="F88" s="35" t="str">
        <f ca="1" t="shared" si="35"/>
        <v>继续培训</v>
      </c>
      <c r="G88" s="35" t="str">
        <f t="shared" si="33"/>
        <v>A2</v>
      </c>
      <c r="H88" s="59">
        <f t="shared" si="36"/>
        <v>45846</v>
      </c>
      <c r="I88" s="69">
        <v>45726</v>
      </c>
      <c r="J88" s="35" t="str">
        <f t="shared" si="37"/>
        <v>未完成</v>
      </c>
      <c r="K88" s="59"/>
      <c r="L88" s="58" t="str">
        <f t="shared" si="38"/>
        <v>未完成</v>
      </c>
      <c r="M88" s="58" t="str">
        <f t="shared" si="39"/>
        <v>未完成</v>
      </c>
      <c r="N88" s="35"/>
      <c r="O88" s="58" t="str">
        <f t="shared" si="40"/>
        <v>未完成</v>
      </c>
      <c r="P88" s="58" t="str">
        <f t="shared" si="41"/>
        <v>未完成</v>
      </c>
      <c r="Q88" s="35"/>
      <c r="R88" s="35"/>
      <c r="S88" s="35" t="str">
        <f t="shared" si="42"/>
        <v>未完成</v>
      </c>
      <c r="T88" s="60"/>
      <c r="U88" s="35" t="str">
        <f t="shared" si="43"/>
        <v>未完成</v>
      </c>
      <c r="V88" s="35"/>
      <c r="W88" s="35" t="str">
        <f t="shared" si="44"/>
        <v>未完成</v>
      </c>
      <c r="X88" s="61"/>
      <c r="Y88" s="62">
        <f ca="1" t="shared" si="45"/>
        <v>36</v>
      </c>
      <c r="Z88" s="58" t="s">
        <v>75</v>
      </c>
      <c r="AA88" s="35">
        <f t="shared" si="46"/>
        <v>5</v>
      </c>
      <c r="AB88" s="58" t="s">
        <v>75</v>
      </c>
      <c r="AC88" s="35">
        <f t="shared" si="47"/>
        <v>10</v>
      </c>
      <c r="AD88" s="58" t="s">
        <v>75</v>
      </c>
      <c r="AE88" s="35">
        <f t="shared" si="48"/>
        <v>5</v>
      </c>
      <c r="AF88" s="63">
        <f t="shared" si="49"/>
        <v>0</v>
      </c>
      <c r="AG88" s="64">
        <f ca="1" t="shared" si="50"/>
        <v>0</v>
      </c>
      <c r="AH88" s="35">
        <f ca="1" t="shared" si="51"/>
        <v>0</v>
      </c>
      <c r="AI88" s="64">
        <f ca="1" t="shared" si="52"/>
        <v>0</v>
      </c>
      <c r="AJ88" s="35">
        <f ca="1" t="shared" si="53"/>
        <v>0</v>
      </c>
      <c r="AK88" s="35">
        <f t="shared" si="54"/>
        <v>0</v>
      </c>
      <c r="AL88" s="64">
        <f ca="1" t="shared" si="55"/>
        <v>0</v>
      </c>
      <c r="AM88" s="35">
        <f ca="1" t="shared" si="56"/>
        <v>0</v>
      </c>
      <c r="AN88" s="35">
        <f t="shared" si="57"/>
        <v>0</v>
      </c>
      <c r="AO88" s="64">
        <f ca="1" t="shared" si="58"/>
        <v>0</v>
      </c>
      <c r="AP88" s="35">
        <f ca="1" t="shared" si="59"/>
        <v>0</v>
      </c>
      <c r="AQ88" s="35">
        <f t="shared" si="60"/>
        <v>0</v>
      </c>
      <c r="AR88" s="64">
        <f ca="1" t="shared" si="61"/>
        <v>0</v>
      </c>
      <c r="AS88" s="35">
        <f ca="1" t="shared" si="62"/>
        <v>0</v>
      </c>
      <c r="AT88" s="65">
        <f>VLOOKUP(B88,经历时间!A:B,2,FALSE)</f>
        <v>695.17</v>
      </c>
      <c r="AU88" s="67">
        <f t="shared" si="63"/>
        <v>0</v>
      </c>
      <c r="AV88" s="35">
        <f ca="1" t="shared" si="32"/>
        <v>10</v>
      </c>
      <c r="AW88" s="24">
        <v>16</v>
      </c>
      <c r="AX88" s="35"/>
      <c r="AY88" s="24">
        <f ca="1">IFERROR(VLOOKUP(B88,'兼职+帮忙'!B:AF,28,FALSE),0)</f>
        <v>0</v>
      </c>
      <c r="AZ88" s="35"/>
    </row>
    <row r="89" ht="15.6" customHeight="1" spans="1:52">
      <c r="A89" s="35">
        <v>283749</v>
      </c>
      <c r="B89" s="35" t="s">
        <v>170</v>
      </c>
      <c r="C89" s="35" t="str">
        <f>VLOOKUP(B89,'姓名+分部'!A:B,2,FALSE)</f>
        <v>一分部</v>
      </c>
      <c r="D89" s="57" t="s">
        <v>40</v>
      </c>
      <c r="E89" s="58" t="str">
        <f ca="1" t="shared" si="34"/>
        <v>无排名</v>
      </c>
      <c r="F89" s="35" t="str">
        <f ca="1" t="shared" si="35"/>
        <v>继续培训</v>
      </c>
      <c r="G89" s="35" t="str">
        <f t="shared" si="33"/>
        <v>A2</v>
      </c>
      <c r="H89" s="59">
        <f t="shared" si="36"/>
        <v>45846</v>
      </c>
      <c r="I89" s="69">
        <v>45726</v>
      </c>
      <c r="J89" s="35" t="str">
        <f t="shared" si="37"/>
        <v>未完成</v>
      </c>
      <c r="K89" s="59"/>
      <c r="L89" s="58" t="str">
        <f t="shared" si="38"/>
        <v>未完成</v>
      </c>
      <c r="M89" s="58" t="str">
        <f t="shared" si="39"/>
        <v>未完成</v>
      </c>
      <c r="N89" s="35"/>
      <c r="O89" s="58" t="str">
        <f t="shared" si="40"/>
        <v>未完成</v>
      </c>
      <c r="P89" s="58" t="str">
        <f t="shared" si="41"/>
        <v>未完成</v>
      </c>
      <c r="Q89" s="35"/>
      <c r="R89" s="35"/>
      <c r="S89" s="35" t="str">
        <f t="shared" si="42"/>
        <v>未完成</v>
      </c>
      <c r="T89" s="60"/>
      <c r="U89" s="35" t="str">
        <f t="shared" si="43"/>
        <v>未完成</v>
      </c>
      <c r="V89" s="35"/>
      <c r="W89" s="35" t="str">
        <f t="shared" si="44"/>
        <v>未完成</v>
      </c>
      <c r="X89" s="61"/>
      <c r="Y89" s="62">
        <f ca="1" t="shared" si="45"/>
        <v>35</v>
      </c>
      <c r="Z89" s="58" t="s">
        <v>75</v>
      </c>
      <c r="AA89" s="35">
        <f t="shared" si="46"/>
        <v>5</v>
      </c>
      <c r="AB89" s="58" t="s">
        <v>75</v>
      </c>
      <c r="AC89" s="35">
        <f t="shared" si="47"/>
        <v>10</v>
      </c>
      <c r="AD89" s="58" t="s">
        <v>75</v>
      </c>
      <c r="AE89" s="35">
        <f t="shared" si="48"/>
        <v>5</v>
      </c>
      <c r="AF89" s="63">
        <f t="shared" si="49"/>
        <v>0</v>
      </c>
      <c r="AG89" s="64">
        <f ca="1" t="shared" si="50"/>
        <v>0</v>
      </c>
      <c r="AH89" s="35">
        <f ca="1" t="shared" si="51"/>
        <v>0</v>
      </c>
      <c r="AI89" s="64">
        <f ca="1" t="shared" si="52"/>
        <v>0</v>
      </c>
      <c r="AJ89" s="35">
        <f ca="1" t="shared" si="53"/>
        <v>0</v>
      </c>
      <c r="AK89" s="35">
        <f t="shared" si="54"/>
        <v>0</v>
      </c>
      <c r="AL89" s="64">
        <f ca="1" t="shared" si="55"/>
        <v>0</v>
      </c>
      <c r="AM89" s="35">
        <f ca="1" t="shared" si="56"/>
        <v>0</v>
      </c>
      <c r="AN89" s="35">
        <f t="shared" si="57"/>
        <v>0</v>
      </c>
      <c r="AO89" s="64">
        <f ca="1" t="shared" si="58"/>
        <v>0</v>
      </c>
      <c r="AP89" s="35">
        <f ca="1" t="shared" si="59"/>
        <v>0</v>
      </c>
      <c r="AQ89" s="35">
        <f t="shared" si="60"/>
        <v>0</v>
      </c>
      <c r="AR89" s="64">
        <f ca="1" t="shared" si="61"/>
        <v>0</v>
      </c>
      <c r="AS89" s="35">
        <f ca="1" t="shared" si="62"/>
        <v>0</v>
      </c>
      <c r="AT89" s="65">
        <f>VLOOKUP(B89,经历时间!A:B,2,FALSE)</f>
        <v>784.12</v>
      </c>
      <c r="AU89" s="67">
        <f t="shared" si="63"/>
        <v>0</v>
      </c>
      <c r="AV89" s="35">
        <f ca="1" t="shared" si="32"/>
        <v>10</v>
      </c>
      <c r="AW89" s="24">
        <v>15</v>
      </c>
      <c r="AX89" s="35"/>
      <c r="AY89" s="24">
        <f ca="1">IFERROR(VLOOKUP(B89,'兼职+帮忙'!B:AF,28,FALSE),0)</f>
        <v>0</v>
      </c>
      <c r="AZ89" s="35"/>
    </row>
    <row r="90" ht="15.6" customHeight="1" spans="1:52">
      <c r="A90" s="35">
        <v>283601</v>
      </c>
      <c r="B90" s="35" t="s">
        <v>171</v>
      </c>
      <c r="C90" s="35" t="str">
        <f>VLOOKUP(B90,'姓名+分部'!A:B,2,FALSE)</f>
        <v>一分部</v>
      </c>
      <c r="D90" s="57" t="s">
        <v>40</v>
      </c>
      <c r="E90" s="58" t="str">
        <f ca="1" t="shared" si="34"/>
        <v>无排名</v>
      </c>
      <c r="F90" s="35" t="str">
        <f ca="1" t="shared" si="35"/>
        <v>继续培训</v>
      </c>
      <c r="G90" s="35" t="str">
        <f t="shared" si="33"/>
        <v>A2</v>
      </c>
      <c r="H90" s="59">
        <f t="shared" si="36"/>
        <v>45846</v>
      </c>
      <c r="I90" s="69">
        <v>45726</v>
      </c>
      <c r="J90" s="35" t="str">
        <f t="shared" si="37"/>
        <v>未完成</v>
      </c>
      <c r="K90" s="59"/>
      <c r="L90" s="58" t="str">
        <f t="shared" si="38"/>
        <v>未完成</v>
      </c>
      <c r="M90" s="58" t="str">
        <f t="shared" si="39"/>
        <v>未完成</v>
      </c>
      <c r="N90" s="35"/>
      <c r="O90" s="58" t="str">
        <f t="shared" si="40"/>
        <v>未完成</v>
      </c>
      <c r="P90" s="58" t="str">
        <f t="shared" si="41"/>
        <v>未完成</v>
      </c>
      <c r="Q90" s="35"/>
      <c r="R90" s="35"/>
      <c r="S90" s="35" t="str">
        <f t="shared" si="42"/>
        <v>未完成</v>
      </c>
      <c r="T90" s="60"/>
      <c r="U90" s="35" t="str">
        <f t="shared" si="43"/>
        <v>未完成</v>
      </c>
      <c r="V90" s="35"/>
      <c r="W90" s="35" t="str">
        <f t="shared" si="44"/>
        <v>未完成</v>
      </c>
      <c r="X90" s="61"/>
      <c r="Y90" s="62">
        <f ca="1" t="shared" si="45"/>
        <v>34</v>
      </c>
      <c r="Z90" s="58" t="s">
        <v>75</v>
      </c>
      <c r="AA90" s="35">
        <f t="shared" si="46"/>
        <v>5</v>
      </c>
      <c r="AB90" s="58" t="s">
        <v>75</v>
      </c>
      <c r="AC90" s="35">
        <f t="shared" si="47"/>
        <v>10</v>
      </c>
      <c r="AD90" s="58" t="s">
        <v>75</v>
      </c>
      <c r="AE90" s="35">
        <f t="shared" si="48"/>
        <v>5</v>
      </c>
      <c r="AF90" s="63">
        <f t="shared" si="49"/>
        <v>0</v>
      </c>
      <c r="AG90" s="64">
        <f ca="1" t="shared" si="50"/>
        <v>0</v>
      </c>
      <c r="AH90" s="35">
        <f ca="1" t="shared" si="51"/>
        <v>0</v>
      </c>
      <c r="AI90" s="64">
        <f ca="1" t="shared" si="52"/>
        <v>0</v>
      </c>
      <c r="AJ90" s="35">
        <f ca="1" t="shared" si="53"/>
        <v>0</v>
      </c>
      <c r="AK90" s="35">
        <f t="shared" si="54"/>
        <v>0</v>
      </c>
      <c r="AL90" s="64">
        <f ca="1" t="shared" si="55"/>
        <v>0</v>
      </c>
      <c r="AM90" s="35">
        <f ca="1" t="shared" si="56"/>
        <v>0</v>
      </c>
      <c r="AN90" s="35">
        <f t="shared" si="57"/>
        <v>0</v>
      </c>
      <c r="AO90" s="64">
        <f ca="1" t="shared" si="58"/>
        <v>0</v>
      </c>
      <c r="AP90" s="35">
        <f ca="1" t="shared" si="59"/>
        <v>0</v>
      </c>
      <c r="AQ90" s="35">
        <f t="shared" si="60"/>
        <v>0</v>
      </c>
      <c r="AR90" s="64">
        <f ca="1" t="shared" si="61"/>
        <v>0</v>
      </c>
      <c r="AS90" s="35">
        <f ca="1" t="shared" si="62"/>
        <v>0</v>
      </c>
      <c r="AT90" s="65">
        <f>VLOOKUP(B90,经历时间!A:B,2,FALSE)</f>
        <v>800.01</v>
      </c>
      <c r="AU90" s="67">
        <f t="shared" si="63"/>
        <v>0</v>
      </c>
      <c r="AV90" s="35">
        <f ca="1" t="shared" si="32"/>
        <v>10</v>
      </c>
      <c r="AW90" s="24">
        <v>14</v>
      </c>
      <c r="AX90" s="35"/>
      <c r="AY90" s="24">
        <f ca="1">IFERROR(VLOOKUP(B90,'兼职+帮忙'!B:AF,28,FALSE),0)</f>
        <v>0</v>
      </c>
      <c r="AZ90" s="35"/>
    </row>
    <row r="91" ht="15.6" customHeight="1" spans="1:52">
      <c r="A91" s="35">
        <v>213858</v>
      </c>
      <c r="B91" s="68" t="s">
        <v>172</v>
      </c>
      <c r="C91" s="35" t="str">
        <f>VLOOKUP(B91,'姓名+分部'!A:B,2,FALSE)</f>
        <v>二分部</v>
      </c>
      <c r="D91" s="57" t="s">
        <v>42</v>
      </c>
      <c r="E91" s="58" t="str">
        <f ca="1" t="shared" si="34"/>
        <v>无排名</v>
      </c>
      <c r="F91" s="35" t="str">
        <f ca="1" t="shared" si="35"/>
        <v>继续培训</v>
      </c>
      <c r="G91" s="35" t="str">
        <f t="shared" si="33"/>
        <v>B</v>
      </c>
      <c r="H91" s="59">
        <f t="shared" si="36"/>
        <v>45859</v>
      </c>
      <c r="I91" s="60">
        <v>45018</v>
      </c>
      <c r="J91" s="35">
        <f t="shared" si="37"/>
        <v>14</v>
      </c>
      <c r="K91" s="61">
        <v>45469</v>
      </c>
      <c r="L91" s="58" t="str">
        <f t="shared" si="38"/>
        <v>未完成</v>
      </c>
      <c r="M91" s="58" t="str">
        <f t="shared" si="39"/>
        <v>未完成</v>
      </c>
      <c r="N91" s="61"/>
      <c r="O91" s="58" t="str">
        <f t="shared" si="40"/>
        <v>未完成</v>
      </c>
      <c r="P91" s="58" t="str">
        <f t="shared" si="41"/>
        <v>未完成</v>
      </c>
      <c r="Q91" s="35"/>
      <c r="R91" s="35"/>
      <c r="S91" s="35">
        <f t="shared" si="42"/>
        <v>26</v>
      </c>
      <c r="T91" s="60">
        <v>45837</v>
      </c>
      <c r="U91" s="35" t="str">
        <f t="shared" si="43"/>
        <v>未完成</v>
      </c>
      <c r="V91" s="61"/>
      <c r="W91" s="35" t="str">
        <f t="shared" si="44"/>
        <v>未完成</v>
      </c>
      <c r="X91" s="61"/>
      <c r="Y91" s="62">
        <f ca="1" t="shared" si="45"/>
        <v>56</v>
      </c>
      <c r="Z91" s="58" t="s">
        <v>75</v>
      </c>
      <c r="AA91" s="35">
        <f t="shared" si="46"/>
        <v>5</v>
      </c>
      <c r="AB91" s="35" t="s">
        <v>75</v>
      </c>
      <c r="AC91" s="35">
        <f t="shared" si="47"/>
        <v>10</v>
      </c>
      <c r="AD91" s="35" t="s">
        <v>75</v>
      </c>
      <c r="AE91" s="35">
        <f t="shared" si="48"/>
        <v>5</v>
      </c>
      <c r="AF91" s="63">
        <f t="shared" si="49"/>
        <v>10</v>
      </c>
      <c r="AG91" s="64">
        <f ca="1" t="shared" si="50"/>
        <v>0</v>
      </c>
      <c r="AH91" s="35">
        <f ca="1" t="shared" si="51"/>
        <v>0</v>
      </c>
      <c r="AI91" s="64">
        <f ca="1" t="shared" si="52"/>
        <v>0</v>
      </c>
      <c r="AJ91" s="35">
        <f ca="1" t="shared" si="53"/>
        <v>0</v>
      </c>
      <c r="AK91" s="35">
        <f t="shared" si="54"/>
        <v>10</v>
      </c>
      <c r="AL91" s="64">
        <f ca="1" t="shared" si="55"/>
        <v>6</v>
      </c>
      <c r="AM91" s="35">
        <f ca="1" t="shared" si="56"/>
        <v>36</v>
      </c>
      <c r="AN91" s="35">
        <f t="shared" si="57"/>
        <v>0</v>
      </c>
      <c r="AO91" s="64">
        <f ca="1" t="shared" si="58"/>
        <v>0</v>
      </c>
      <c r="AP91" s="35">
        <f ca="1" t="shared" si="59"/>
        <v>0</v>
      </c>
      <c r="AQ91" s="35">
        <f t="shared" si="60"/>
        <v>0</v>
      </c>
      <c r="AR91" s="64">
        <f ca="1" t="shared" si="61"/>
        <v>0</v>
      </c>
      <c r="AS91" s="35">
        <f ca="1" t="shared" si="62"/>
        <v>0</v>
      </c>
      <c r="AT91" s="65">
        <f>VLOOKUP(B91,经历时间!A:B,2,FALSE)</f>
        <v>6627.03</v>
      </c>
      <c r="AU91" s="67">
        <f t="shared" si="63"/>
        <v>0</v>
      </c>
      <c r="AV91" s="35">
        <f ca="1" t="shared" si="32"/>
        <v>33</v>
      </c>
      <c r="AW91" s="24">
        <v>0</v>
      </c>
      <c r="AX91" s="35"/>
      <c r="AY91" s="24">
        <f ca="1">IFERROR(VLOOKUP(B91,'兼职+帮忙'!B:AF,28,FALSE),0)</f>
        <v>0</v>
      </c>
      <c r="AZ91" s="35"/>
    </row>
    <row r="92" ht="15.6" customHeight="1" spans="1:52">
      <c r="A92" s="15">
        <v>276388</v>
      </c>
      <c r="B92" s="68" t="s">
        <v>173</v>
      </c>
      <c r="C92" s="35" t="str">
        <f>VLOOKUP(B92,'姓名+分部'!A:B,2,FALSE)</f>
        <v>一分部</v>
      </c>
      <c r="D92" s="57" t="s">
        <v>45</v>
      </c>
      <c r="E92" s="58" t="str">
        <f ca="1" t="shared" si="34"/>
        <v>无排名</v>
      </c>
      <c r="F92" s="35" t="str">
        <f ca="1" t="shared" si="35"/>
        <v>继续培训</v>
      </c>
      <c r="G92" s="35" t="str">
        <f t="shared" si="33"/>
        <v>不考核</v>
      </c>
      <c r="H92" s="59" t="str">
        <f t="shared" si="36"/>
        <v>完成考核</v>
      </c>
      <c r="I92" s="60">
        <v>45315</v>
      </c>
      <c r="J92" s="35">
        <f t="shared" si="37"/>
        <v>6</v>
      </c>
      <c r="K92" s="61">
        <v>45524</v>
      </c>
      <c r="L92" s="58">
        <f t="shared" si="38"/>
        <v>17</v>
      </c>
      <c r="M92" s="58">
        <f t="shared" si="39"/>
        <v>10</v>
      </c>
      <c r="N92" s="61">
        <v>45834</v>
      </c>
      <c r="O92" s="58" t="str">
        <f t="shared" si="40"/>
        <v>未完成</v>
      </c>
      <c r="P92" s="58" t="str">
        <f t="shared" si="41"/>
        <v>未完成</v>
      </c>
      <c r="Q92" s="35"/>
      <c r="R92" s="35"/>
      <c r="S92" s="35" t="str">
        <f t="shared" si="42"/>
        <v>未完成</v>
      </c>
      <c r="T92" s="60"/>
      <c r="U92" s="35">
        <f t="shared" si="43"/>
        <v>17</v>
      </c>
      <c r="V92" s="61">
        <v>45834</v>
      </c>
      <c r="W92" s="35" t="str">
        <f t="shared" si="44"/>
        <v>未完成</v>
      </c>
      <c r="X92" s="61"/>
      <c r="Y92" s="62">
        <f ca="1" t="shared" si="45"/>
        <v>74</v>
      </c>
      <c r="Z92" s="58" t="s">
        <v>75</v>
      </c>
      <c r="AA92" s="35">
        <f t="shared" si="46"/>
        <v>5</v>
      </c>
      <c r="AB92" s="58" t="s">
        <v>75</v>
      </c>
      <c r="AC92" s="35">
        <f t="shared" si="47"/>
        <v>10</v>
      </c>
      <c r="AD92" s="58" t="s">
        <v>75</v>
      </c>
      <c r="AE92" s="35">
        <f t="shared" si="48"/>
        <v>5</v>
      </c>
      <c r="AF92" s="63">
        <f t="shared" si="49"/>
        <v>20</v>
      </c>
      <c r="AG92" s="64">
        <f ca="1" t="shared" si="50"/>
        <v>6</v>
      </c>
      <c r="AH92" s="35">
        <f ca="1" t="shared" si="51"/>
        <v>18</v>
      </c>
      <c r="AI92" s="64">
        <f ca="1" t="shared" si="52"/>
        <v>0</v>
      </c>
      <c r="AJ92" s="35">
        <f ca="1" t="shared" si="53"/>
        <v>0</v>
      </c>
      <c r="AK92" s="35">
        <f t="shared" si="54"/>
        <v>0</v>
      </c>
      <c r="AL92" s="64">
        <f ca="1" t="shared" si="55"/>
        <v>0</v>
      </c>
      <c r="AM92" s="35">
        <f ca="1" t="shared" si="56"/>
        <v>0</v>
      </c>
      <c r="AN92" s="35">
        <f t="shared" si="57"/>
        <v>10</v>
      </c>
      <c r="AO92" s="64">
        <f ca="1" t="shared" si="58"/>
        <v>6</v>
      </c>
      <c r="AP92" s="35">
        <f ca="1" t="shared" si="59"/>
        <v>36</v>
      </c>
      <c r="AQ92" s="35">
        <f t="shared" si="60"/>
        <v>0</v>
      </c>
      <c r="AR92" s="64">
        <f ca="1" t="shared" si="61"/>
        <v>0</v>
      </c>
      <c r="AS92" s="35">
        <f ca="1" t="shared" si="62"/>
        <v>0</v>
      </c>
      <c r="AT92" s="65">
        <f>VLOOKUP(B92,经历时间!A:B,2,FALSE)</f>
        <v>1152.28</v>
      </c>
      <c r="AU92" s="67">
        <f t="shared" si="63"/>
        <v>0</v>
      </c>
      <c r="AV92" s="35">
        <f ca="1" t="shared" si="32"/>
        <v>23</v>
      </c>
      <c r="AW92" s="24">
        <v>0</v>
      </c>
      <c r="AX92" s="35"/>
      <c r="AY92" s="24">
        <f ca="1">IFERROR(VLOOKUP(B92,'兼职+帮忙'!B:AF,28,FALSE),0)</f>
        <v>0</v>
      </c>
      <c r="AZ92" s="35"/>
    </row>
    <row r="93" ht="15.6" customHeight="1" spans="1:52">
      <c r="A93" s="35">
        <v>270788</v>
      </c>
      <c r="B93" s="68" t="s">
        <v>174</v>
      </c>
      <c r="C93" s="35" t="str">
        <f>VLOOKUP(B93,'姓名+分部'!A:B,2,FALSE)</f>
        <v>三分部</v>
      </c>
      <c r="D93" s="57" t="s">
        <v>42</v>
      </c>
      <c r="E93" s="58" t="str">
        <f ca="1" t="shared" si="34"/>
        <v>无排名</v>
      </c>
      <c r="F93" s="35" t="str">
        <f ca="1" t="shared" si="35"/>
        <v>继续培训</v>
      </c>
      <c r="G93" s="35" t="str">
        <f t="shared" si="33"/>
        <v>B</v>
      </c>
      <c r="H93" s="59">
        <f t="shared" si="36"/>
        <v>46032</v>
      </c>
      <c r="I93" s="60">
        <v>45149</v>
      </c>
      <c r="J93" s="35">
        <f t="shared" si="37"/>
        <v>16</v>
      </c>
      <c r="K93" s="61">
        <v>45642</v>
      </c>
      <c r="L93" s="58" t="str">
        <f t="shared" si="38"/>
        <v>未完成</v>
      </c>
      <c r="M93" s="58" t="str">
        <f t="shared" si="39"/>
        <v>未完成</v>
      </c>
      <c r="N93" s="61"/>
      <c r="O93" s="58" t="str">
        <f t="shared" si="40"/>
        <v>未完成</v>
      </c>
      <c r="P93" s="58" t="str">
        <f t="shared" si="41"/>
        <v>未完成</v>
      </c>
      <c r="Q93" s="35"/>
      <c r="R93" s="35"/>
      <c r="S93" s="35" t="str">
        <f t="shared" si="42"/>
        <v>未完成</v>
      </c>
      <c r="T93" s="60"/>
      <c r="U93" s="35" t="str">
        <f t="shared" si="43"/>
        <v>未完成</v>
      </c>
      <c r="V93" s="61"/>
      <c r="W93" s="35" t="str">
        <f t="shared" si="44"/>
        <v>未完成</v>
      </c>
      <c r="X93" s="61"/>
      <c r="Y93" s="62">
        <f ca="1" t="shared" si="45"/>
        <v>20</v>
      </c>
      <c r="Z93" s="58" t="s">
        <v>75</v>
      </c>
      <c r="AA93" s="35">
        <f t="shared" si="46"/>
        <v>5</v>
      </c>
      <c r="AB93" s="58" t="s">
        <v>75</v>
      </c>
      <c r="AC93" s="35">
        <f t="shared" si="47"/>
        <v>10</v>
      </c>
      <c r="AD93" s="58" t="s">
        <v>75</v>
      </c>
      <c r="AE93" s="35">
        <f t="shared" si="48"/>
        <v>5</v>
      </c>
      <c r="AF93" s="63">
        <f t="shared" si="49"/>
        <v>10</v>
      </c>
      <c r="AG93" s="64">
        <f ca="1" t="shared" si="50"/>
        <v>0</v>
      </c>
      <c r="AH93" s="35">
        <f ca="1" t="shared" si="51"/>
        <v>0</v>
      </c>
      <c r="AI93" s="64">
        <f ca="1" t="shared" si="52"/>
        <v>0</v>
      </c>
      <c r="AJ93" s="35">
        <f ca="1" t="shared" si="53"/>
        <v>0</v>
      </c>
      <c r="AK93" s="35">
        <f t="shared" si="54"/>
        <v>0</v>
      </c>
      <c r="AL93" s="64">
        <f ca="1" t="shared" si="55"/>
        <v>0</v>
      </c>
      <c r="AM93" s="35">
        <f ca="1" t="shared" si="56"/>
        <v>0</v>
      </c>
      <c r="AN93" s="35">
        <f t="shared" si="57"/>
        <v>0</v>
      </c>
      <c r="AO93" s="64">
        <f ca="1" t="shared" si="58"/>
        <v>0</v>
      </c>
      <c r="AP93" s="35">
        <f ca="1" t="shared" si="59"/>
        <v>0</v>
      </c>
      <c r="AQ93" s="35">
        <f t="shared" si="60"/>
        <v>0</v>
      </c>
      <c r="AR93" s="64">
        <f ca="1" t="shared" si="61"/>
        <v>0</v>
      </c>
      <c r="AS93" s="35">
        <f ca="1" t="shared" si="62"/>
        <v>0</v>
      </c>
      <c r="AT93" s="65">
        <f>VLOOKUP(B93,经历时间!A:B,2,FALSE)</f>
        <v>999.27</v>
      </c>
      <c r="AU93" s="67">
        <f t="shared" si="63"/>
        <v>0</v>
      </c>
      <c r="AV93" s="35">
        <f ca="1" t="shared" si="32"/>
        <v>29</v>
      </c>
      <c r="AW93" s="24">
        <v>0</v>
      </c>
      <c r="AX93" s="35"/>
      <c r="AY93" s="24">
        <f ca="1">IFERROR(VLOOKUP(B93,'兼职+帮忙'!B:AF,28,FALSE),0)</f>
        <v>0</v>
      </c>
      <c r="AZ93" s="35"/>
    </row>
    <row r="94" ht="15.6" customHeight="1" spans="1:52">
      <c r="A94" s="15">
        <v>276385</v>
      </c>
      <c r="B94" s="68" t="s">
        <v>175</v>
      </c>
      <c r="C94" s="35" t="str">
        <f>VLOOKUP(B94,'姓名+分部'!A:B,2,FALSE)</f>
        <v>二分部</v>
      </c>
      <c r="D94" s="57" t="s">
        <v>42</v>
      </c>
      <c r="E94" s="58" t="str">
        <f ca="1" t="shared" si="34"/>
        <v>无排名</v>
      </c>
      <c r="F94" s="35" t="str">
        <f ca="1" t="shared" si="35"/>
        <v>继续培训</v>
      </c>
      <c r="G94" s="35" t="str">
        <f t="shared" si="33"/>
        <v>B</v>
      </c>
      <c r="H94" s="59">
        <f t="shared" si="36"/>
        <v>45992</v>
      </c>
      <c r="I94" s="60">
        <v>45278</v>
      </c>
      <c r="J94" s="35">
        <f t="shared" si="37"/>
        <v>10</v>
      </c>
      <c r="K94" s="61">
        <v>45602</v>
      </c>
      <c r="L94" s="58" t="str">
        <f t="shared" si="38"/>
        <v>未完成</v>
      </c>
      <c r="M94" s="58" t="str">
        <f t="shared" si="39"/>
        <v>未完成</v>
      </c>
      <c r="N94" s="61"/>
      <c r="O94" s="58" t="str">
        <f t="shared" si="40"/>
        <v>未完成</v>
      </c>
      <c r="P94" s="58" t="str">
        <f t="shared" si="41"/>
        <v>未完成</v>
      </c>
      <c r="Q94" s="35"/>
      <c r="R94" s="35"/>
      <c r="S94" s="35" t="str">
        <f t="shared" si="42"/>
        <v>未完成</v>
      </c>
      <c r="T94" s="60"/>
      <c r="U94" s="35" t="str">
        <f t="shared" si="43"/>
        <v>未完成</v>
      </c>
      <c r="V94" s="61"/>
      <c r="W94" s="35" t="str">
        <f t="shared" si="44"/>
        <v>未完成</v>
      </c>
      <c r="X94" s="61"/>
      <c r="Y94" s="62">
        <f ca="1" t="shared" si="45"/>
        <v>20</v>
      </c>
      <c r="Z94" s="58" t="s">
        <v>75</v>
      </c>
      <c r="AA94" s="35">
        <f t="shared" si="46"/>
        <v>5</v>
      </c>
      <c r="AB94" s="58" t="s">
        <v>75</v>
      </c>
      <c r="AC94" s="35">
        <f t="shared" si="47"/>
        <v>10</v>
      </c>
      <c r="AD94" s="58" t="s">
        <v>75</v>
      </c>
      <c r="AE94" s="35">
        <f t="shared" si="48"/>
        <v>5</v>
      </c>
      <c r="AF94" s="63">
        <f t="shared" si="49"/>
        <v>10</v>
      </c>
      <c r="AG94" s="64">
        <f ca="1" t="shared" si="50"/>
        <v>0</v>
      </c>
      <c r="AH94" s="35">
        <f ca="1" t="shared" si="51"/>
        <v>0</v>
      </c>
      <c r="AI94" s="64">
        <f ca="1" t="shared" si="52"/>
        <v>0</v>
      </c>
      <c r="AJ94" s="35">
        <f ca="1" t="shared" si="53"/>
        <v>0</v>
      </c>
      <c r="AK94" s="35">
        <f t="shared" si="54"/>
        <v>0</v>
      </c>
      <c r="AL94" s="64">
        <f ca="1" t="shared" si="55"/>
        <v>0</v>
      </c>
      <c r="AM94" s="35">
        <f ca="1" t="shared" si="56"/>
        <v>0</v>
      </c>
      <c r="AN94" s="35">
        <f t="shared" si="57"/>
        <v>0</v>
      </c>
      <c r="AO94" s="64">
        <f ca="1" t="shared" si="58"/>
        <v>0</v>
      </c>
      <c r="AP94" s="35">
        <f ca="1" t="shared" si="59"/>
        <v>0</v>
      </c>
      <c r="AQ94" s="35">
        <f t="shared" si="60"/>
        <v>0</v>
      </c>
      <c r="AR94" s="64">
        <f ca="1" t="shared" si="61"/>
        <v>0</v>
      </c>
      <c r="AS94" s="35">
        <f ca="1" t="shared" si="62"/>
        <v>0</v>
      </c>
      <c r="AT94" s="65">
        <f>VLOOKUP(B94,经历时间!A:B,2,FALSE)</f>
        <v>1084.16</v>
      </c>
      <c r="AU94" s="67">
        <f t="shared" si="63"/>
        <v>0</v>
      </c>
      <c r="AV94" s="35">
        <f ca="1" t="shared" si="32"/>
        <v>24</v>
      </c>
      <c r="AW94" s="24">
        <v>0</v>
      </c>
      <c r="AX94" s="35"/>
      <c r="AY94" s="24">
        <f ca="1">IFERROR(VLOOKUP(B94,'兼职+帮忙'!B:AF,28,FALSE),0)</f>
        <v>0</v>
      </c>
      <c r="AZ94" s="35"/>
    </row>
    <row r="95" ht="15.6" customHeight="1" spans="1:52">
      <c r="A95" s="15">
        <v>274982</v>
      </c>
      <c r="B95" s="68" t="s">
        <v>176</v>
      </c>
      <c r="C95" s="35" t="str">
        <f>VLOOKUP(B95,'姓名+分部'!A:B,2,FALSE)</f>
        <v>一分部</v>
      </c>
      <c r="D95" s="57" t="s">
        <v>45</v>
      </c>
      <c r="E95" s="58" t="str">
        <f ca="1" t="shared" si="34"/>
        <v>无排名</v>
      </c>
      <c r="F95" s="35" t="str">
        <f ca="1" t="shared" si="35"/>
        <v>继续培训</v>
      </c>
      <c r="G95" s="35" t="str">
        <f t="shared" si="33"/>
        <v>不考核</v>
      </c>
      <c r="H95" s="59" t="str">
        <f t="shared" si="36"/>
        <v>完成考核</v>
      </c>
      <c r="I95" s="60">
        <v>45385</v>
      </c>
      <c r="J95" s="35">
        <f t="shared" si="37"/>
        <v>9</v>
      </c>
      <c r="K95" s="61">
        <v>45673</v>
      </c>
      <c r="L95" s="58">
        <f t="shared" si="38"/>
        <v>17</v>
      </c>
      <c r="M95" s="58">
        <f t="shared" si="39"/>
        <v>8</v>
      </c>
      <c r="N95" s="61">
        <v>45924</v>
      </c>
      <c r="O95" s="58" t="str">
        <f t="shared" si="40"/>
        <v>未完成</v>
      </c>
      <c r="P95" s="58" t="str">
        <f t="shared" si="41"/>
        <v>未完成</v>
      </c>
      <c r="Q95" s="35"/>
      <c r="R95" s="35"/>
      <c r="S95" s="35">
        <f t="shared" si="42"/>
        <v>12</v>
      </c>
      <c r="T95" s="59">
        <v>45750</v>
      </c>
      <c r="U95" s="35" t="str">
        <f t="shared" si="43"/>
        <v>未完成</v>
      </c>
      <c r="V95" s="61"/>
      <c r="W95" s="35" t="str">
        <f t="shared" si="44"/>
        <v>未完成</v>
      </c>
      <c r="X95" s="61"/>
      <c r="Y95" s="62">
        <f ca="1" t="shared" si="45"/>
        <v>83</v>
      </c>
      <c r="Z95" s="58" t="s">
        <v>75</v>
      </c>
      <c r="AA95" s="35">
        <f t="shared" si="46"/>
        <v>5</v>
      </c>
      <c r="AB95" s="58" t="s">
        <v>75</v>
      </c>
      <c r="AC95" s="35">
        <f t="shared" si="47"/>
        <v>10</v>
      </c>
      <c r="AD95" s="58" t="s">
        <v>75</v>
      </c>
      <c r="AE95" s="35">
        <f t="shared" si="48"/>
        <v>5</v>
      </c>
      <c r="AF95" s="63">
        <f t="shared" si="49"/>
        <v>20</v>
      </c>
      <c r="AG95" s="64">
        <f ca="1" t="shared" si="50"/>
        <v>3</v>
      </c>
      <c r="AH95" s="35">
        <f ca="1" t="shared" si="51"/>
        <v>9</v>
      </c>
      <c r="AI95" s="64">
        <f ca="1" t="shared" si="52"/>
        <v>0</v>
      </c>
      <c r="AJ95" s="35">
        <f ca="1" t="shared" si="53"/>
        <v>0</v>
      </c>
      <c r="AK95" s="35">
        <f t="shared" si="54"/>
        <v>10</v>
      </c>
      <c r="AL95" s="64">
        <f ca="1" t="shared" si="55"/>
        <v>9</v>
      </c>
      <c r="AM95" s="35">
        <f ca="1" t="shared" si="56"/>
        <v>54</v>
      </c>
      <c r="AN95" s="35">
        <f t="shared" si="57"/>
        <v>0</v>
      </c>
      <c r="AO95" s="64">
        <f ca="1" t="shared" si="58"/>
        <v>0</v>
      </c>
      <c r="AP95" s="35">
        <f ca="1" t="shared" si="59"/>
        <v>0</v>
      </c>
      <c r="AQ95" s="35">
        <f t="shared" si="60"/>
        <v>0</v>
      </c>
      <c r="AR95" s="64">
        <f ca="1" t="shared" si="61"/>
        <v>0</v>
      </c>
      <c r="AS95" s="35">
        <f ca="1" t="shared" si="62"/>
        <v>0</v>
      </c>
      <c r="AT95" s="65">
        <f>VLOOKUP(B95,经历时间!A:B,2,FALSE)</f>
        <v>1313.19</v>
      </c>
      <c r="AU95" s="67">
        <f t="shared" si="63"/>
        <v>0</v>
      </c>
      <c r="AV95" s="35">
        <f ca="1" t="shared" ref="AV95:AV149" si="64">IF(I95&gt;0,DATEDIF(I95,TODAY(),"m"),0)</f>
        <v>21</v>
      </c>
      <c r="AW95" s="24">
        <v>0</v>
      </c>
      <c r="AX95" s="35"/>
      <c r="AY95" s="24">
        <f ca="1">IFERROR(VLOOKUP(B95,'兼职+帮忙'!B:AF,28,FALSE),0)</f>
        <v>0</v>
      </c>
      <c r="AZ95" s="35"/>
    </row>
    <row r="96" ht="15.6" customHeight="1" spans="1:52">
      <c r="A96" s="34">
        <v>278680</v>
      </c>
      <c r="B96" s="70" t="s">
        <v>177</v>
      </c>
      <c r="C96" s="35" t="str">
        <f>VLOOKUP(B96,'姓名+分部'!A:B,2,FALSE)</f>
        <v>二分部</v>
      </c>
      <c r="D96" s="57" t="s">
        <v>42</v>
      </c>
      <c r="E96" s="58" t="str">
        <f ca="1" t="shared" si="34"/>
        <v>无排名</v>
      </c>
      <c r="F96" s="35" t="str">
        <f ca="1" t="shared" si="35"/>
        <v>继续培训</v>
      </c>
      <c r="G96" s="35" t="str">
        <f t="shared" si="33"/>
        <v>B</v>
      </c>
      <c r="H96" s="59">
        <f t="shared" si="36"/>
        <v>46087</v>
      </c>
      <c r="I96" s="60">
        <v>45321</v>
      </c>
      <c r="J96" s="35">
        <f t="shared" si="37"/>
        <v>12</v>
      </c>
      <c r="K96" s="61">
        <v>45697</v>
      </c>
      <c r="L96" s="58" t="str">
        <f t="shared" si="38"/>
        <v>未完成</v>
      </c>
      <c r="M96" s="58" t="str">
        <f t="shared" si="39"/>
        <v>未完成</v>
      </c>
      <c r="N96" s="61"/>
      <c r="O96" s="58" t="str">
        <f t="shared" si="40"/>
        <v>未完成</v>
      </c>
      <c r="P96" s="58" t="str">
        <f t="shared" si="41"/>
        <v>未完成</v>
      </c>
      <c r="Q96" s="35"/>
      <c r="R96" s="35"/>
      <c r="S96" s="35">
        <f t="shared" si="42"/>
        <v>14</v>
      </c>
      <c r="T96" s="59">
        <v>45754</v>
      </c>
      <c r="U96" s="35" t="str">
        <f t="shared" si="43"/>
        <v>未完成</v>
      </c>
      <c r="V96" s="61"/>
      <c r="W96" s="35" t="str">
        <f t="shared" si="44"/>
        <v>未完成</v>
      </c>
      <c r="X96" s="61"/>
      <c r="Y96" s="62">
        <f ca="1" t="shared" si="45"/>
        <v>74</v>
      </c>
      <c r="Z96" s="58" t="s">
        <v>75</v>
      </c>
      <c r="AA96" s="35">
        <f t="shared" si="46"/>
        <v>5</v>
      </c>
      <c r="AB96" s="58" t="s">
        <v>75</v>
      </c>
      <c r="AC96" s="35">
        <f t="shared" si="47"/>
        <v>10</v>
      </c>
      <c r="AD96" s="58" t="s">
        <v>75</v>
      </c>
      <c r="AE96" s="35">
        <f t="shared" si="48"/>
        <v>5</v>
      </c>
      <c r="AF96" s="63">
        <f t="shared" si="49"/>
        <v>10</v>
      </c>
      <c r="AG96" s="64">
        <f ca="1" t="shared" si="50"/>
        <v>0</v>
      </c>
      <c r="AH96" s="35">
        <f ca="1" t="shared" si="51"/>
        <v>0</v>
      </c>
      <c r="AI96" s="64">
        <f ca="1" t="shared" si="52"/>
        <v>0</v>
      </c>
      <c r="AJ96" s="35">
        <f ca="1" t="shared" si="53"/>
        <v>0</v>
      </c>
      <c r="AK96" s="35">
        <f t="shared" si="54"/>
        <v>10</v>
      </c>
      <c r="AL96" s="64">
        <f ca="1" t="shared" si="55"/>
        <v>9</v>
      </c>
      <c r="AM96" s="35">
        <f ca="1" t="shared" si="56"/>
        <v>54</v>
      </c>
      <c r="AN96" s="35">
        <f t="shared" si="57"/>
        <v>0</v>
      </c>
      <c r="AO96" s="64">
        <f ca="1" t="shared" si="58"/>
        <v>0</v>
      </c>
      <c r="AP96" s="35">
        <f ca="1" t="shared" si="59"/>
        <v>0</v>
      </c>
      <c r="AQ96" s="35">
        <f t="shared" si="60"/>
        <v>0</v>
      </c>
      <c r="AR96" s="64">
        <f ca="1" t="shared" si="61"/>
        <v>0</v>
      </c>
      <c r="AS96" s="35">
        <f ca="1" t="shared" si="62"/>
        <v>0</v>
      </c>
      <c r="AT96" s="65">
        <f>VLOOKUP(B96,经历时间!A:B,2,FALSE)</f>
        <v>868.52</v>
      </c>
      <c r="AU96" s="67">
        <f t="shared" si="63"/>
        <v>0</v>
      </c>
      <c r="AV96" s="35">
        <f ca="1" t="shared" si="64"/>
        <v>23</v>
      </c>
      <c r="AW96" s="24">
        <v>0</v>
      </c>
      <c r="AX96" s="35"/>
      <c r="AY96" s="24">
        <f ca="1">IFERROR(VLOOKUP(B96,'兼职+帮忙'!B:AF,28,FALSE),0)</f>
        <v>0</v>
      </c>
      <c r="AZ96" s="35"/>
    </row>
    <row r="97" ht="15.6" customHeight="1" spans="1:52">
      <c r="A97" s="34">
        <v>280875</v>
      </c>
      <c r="B97" s="70" t="s">
        <v>178</v>
      </c>
      <c r="C97" s="35" t="str">
        <f>VLOOKUP(B97,'姓名+分部'!A:B,2,FALSE)</f>
        <v>二分部</v>
      </c>
      <c r="D97" s="57" t="s">
        <v>42</v>
      </c>
      <c r="E97" s="58" t="str">
        <f ca="1" t="shared" si="34"/>
        <v>无排名</v>
      </c>
      <c r="F97" s="35" t="str">
        <f ca="1" t="shared" si="35"/>
        <v>继续培训</v>
      </c>
      <c r="G97" s="35" t="str">
        <f t="shared" si="33"/>
        <v>B</v>
      </c>
      <c r="H97" s="59">
        <f t="shared" si="36"/>
        <v>46052</v>
      </c>
      <c r="I97" s="60">
        <v>45419</v>
      </c>
      <c r="J97" s="35">
        <f t="shared" si="37"/>
        <v>7</v>
      </c>
      <c r="K97" s="61">
        <v>45662</v>
      </c>
      <c r="L97" s="58" t="str">
        <f t="shared" si="38"/>
        <v>未完成</v>
      </c>
      <c r="M97" s="58" t="str">
        <f t="shared" si="39"/>
        <v>未完成</v>
      </c>
      <c r="N97" s="61"/>
      <c r="O97" s="58" t="str">
        <f t="shared" si="40"/>
        <v>未完成</v>
      </c>
      <c r="P97" s="58" t="str">
        <f t="shared" si="41"/>
        <v>未完成</v>
      </c>
      <c r="Q97" s="35"/>
      <c r="R97" s="35"/>
      <c r="S97" s="35" t="str">
        <f t="shared" si="42"/>
        <v>未完成</v>
      </c>
      <c r="T97" s="35"/>
      <c r="U97" s="35" t="str">
        <f t="shared" si="43"/>
        <v>未完成</v>
      </c>
      <c r="V97" s="61"/>
      <c r="W97" s="35" t="str">
        <f t="shared" si="44"/>
        <v>未完成</v>
      </c>
      <c r="X97" s="61"/>
      <c r="Y97" s="62">
        <f ca="1" t="shared" si="45"/>
        <v>20</v>
      </c>
      <c r="Z97" s="58" t="s">
        <v>75</v>
      </c>
      <c r="AA97" s="35">
        <f t="shared" si="46"/>
        <v>5</v>
      </c>
      <c r="AB97" s="58" t="s">
        <v>75</v>
      </c>
      <c r="AC97" s="35">
        <f t="shared" si="47"/>
        <v>10</v>
      </c>
      <c r="AD97" s="58" t="s">
        <v>75</v>
      </c>
      <c r="AE97" s="35">
        <f t="shared" si="48"/>
        <v>5</v>
      </c>
      <c r="AF97" s="63">
        <f t="shared" si="49"/>
        <v>10</v>
      </c>
      <c r="AG97" s="64">
        <f ca="1" t="shared" si="50"/>
        <v>0</v>
      </c>
      <c r="AH97" s="35">
        <f ca="1" t="shared" si="51"/>
        <v>0</v>
      </c>
      <c r="AI97" s="64">
        <f ca="1" t="shared" si="52"/>
        <v>0</v>
      </c>
      <c r="AJ97" s="35">
        <f ca="1" t="shared" si="53"/>
        <v>0</v>
      </c>
      <c r="AK97" s="35">
        <f t="shared" si="54"/>
        <v>0</v>
      </c>
      <c r="AL97" s="64">
        <f ca="1" t="shared" si="55"/>
        <v>0</v>
      </c>
      <c r="AM97" s="35">
        <f ca="1" t="shared" si="56"/>
        <v>0</v>
      </c>
      <c r="AN97" s="35">
        <f t="shared" si="57"/>
        <v>0</v>
      </c>
      <c r="AO97" s="64">
        <f ca="1" t="shared" si="58"/>
        <v>0</v>
      </c>
      <c r="AP97" s="35">
        <f ca="1" t="shared" si="59"/>
        <v>0</v>
      </c>
      <c r="AQ97" s="35">
        <f t="shared" si="60"/>
        <v>0</v>
      </c>
      <c r="AR97" s="64">
        <f ca="1" t="shared" si="61"/>
        <v>0</v>
      </c>
      <c r="AS97" s="35">
        <f ca="1" t="shared" si="62"/>
        <v>0</v>
      </c>
      <c r="AT97" s="65">
        <f>VLOOKUP(B97,经历时间!A:B,2,FALSE)</f>
        <v>1299.07</v>
      </c>
      <c r="AU97" s="67">
        <f t="shared" si="63"/>
        <v>0</v>
      </c>
      <c r="AV97" s="35">
        <f ca="1" t="shared" si="64"/>
        <v>20</v>
      </c>
      <c r="AW97" s="24">
        <v>0</v>
      </c>
      <c r="AX97" s="35"/>
      <c r="AY97" s="24">
        <f ca="1">IFERROR(VLOOKUP(B97,'兼职+帮忙'!B:AF,28,FALSE),0)</f>
        <v>0</v>
      </c>
      <c r="AZ97" s="35"/>
    </row>
    <row r="98" ht="15.6" customHeight="1" spans="1:52">
      <c r="A98" s="34">
        <v>215555</v>
      </c>
      <c r="B98" s="70" t="s">
        <v>179</v>
      </c>
      <c r="C98" s="35" t="str">
        <f>VLOOKUP(B98,'姓名+分部'!A:B,2,FALSE)</f>
        <v>一分部</v>
      </c>
      <c r="D98" s="57" t="s">
        <v>42</v>
      </c>
      <c r="E98" s="58" t="str">
        <f ca="1" t="shared" si="34"/>
        <v>无排名</v>
      </c>
      <c r="F98" s="35" t="str">
        <f ca="1" t="shared" si="35"/>
        <v>继续培训</v>
      </c>
      <c r="G98" s="35" t="str">
        <f t="shared" si="33"/>
        <v>B</v>
      </c>
      <c r="H98" s="59">
        <f t="shared" si="36"/>
        <v>46094</v>
      </c>
      <c r="I98" s="60">
        <v>45488</v>
      </c>
      <c r="J98" s="35">
        <f t="shared" si="37"/>
        <v>7</v>
      </c>
      <c r="K98" s="59">
        <v>45704</v>
      </c>
      <c r="L98" s="58" t="str">
        <f t="shared" si="38"/>
        <v>未完成</v>
      </c>
      <c r="M98" s="58" t="str">
        <f t="shared" si="39"/>
        <v>未完成</v>
      </c>
      <c r="N98" s="35"/>
      <c r="O98" s="58" t="str">
        <f t="shared" si="40"/>
        <v>未完成</v>
      </c>
      <c r="P98" s="58" t="str">
        <f t="shared" si="41"/>
        <v>未完成</v>
      </c>
      <c r="Q98" s="35"/>
      <c r="R98" s="35"/>
      <c r="S98" s="35">
        <f t="shared" si="42"/>
        <v>9</v>
      </c>
      <c r="T98" s="59">
        <v>45765</v>
      </c>
      <c r="U98" s="35" t="str">
        <f t="shared" si="43"/>
        <v>未完成</v>
      </c>
      <c r="V98" s="61"/>
      <c r="W98" s="35" t="str">
        <f t="shared" si="44"/>
        <v>未完成</v>
      </c>
      <c r="X98" s="61"/>
      <c r="Y98" s="62">
        <f ca="1" t="shared" si="45"/>
        <v>68</v>
      </c>
      <c r="Z98" s="58" t="s">
        <v>75</v>
      </c>
      <c r="AA98" s="35">
        <f t="shared" si="46"/>
        <v>5</v>
      </c>
      <c r="AB98" s="58" t="s">
        <v>75</v>
      </c>
      <c r="AC98" s="35">
        <f t="shared" si="47"/>
        <v>10</v>
      </c>
      <c r="AD98" s="58" t="s">
        <v>75</v>
      </c>
      <c r="AE98" s="35">
        <f t="shared" si="48"/>
        <v>5</v>
      </c>
      <c r="AF98" s="63">
        <f t="shared" si="49"/>
        <v>10</v>
      </c>
      <c r="AG98" s="64">
        <f ca="1" t="shared" si="50"/>
        <v>0</v>
      </c>
      <c r="AH98" s="35">
        <f ca="1" t="shared" si="51"/>
        <v>0</v>
      </c>
      <c r="AI98" s="64">
        <f ca="1" t="shared" si="52"/>
        <v>0</v>
      </c>
      <c r="AJ98" s="35">
        <f ca="1" t="shared" si="53"/>
        <v>0</v>
      </c>
      <c r="AK98" s="35">
        <f t="shared" si="54"/>
        <v>10</v>
      </c>
      <c r="AL98" s="64">
        <f ca="1" t="shared" si="55"/>
        <v>8</v>
      </c>
      <c r="AM98" s="35">
        <f ca="1" t="shared" si="56"/>
        <v>48</v>
      </c>
      <c r="AN98" s="35">
        <f t="shared" si="57"/>
        <v>0</v>
      </c>
      <c r="AO98" s="64">
        <f ca="1" t="shared" si="58"/>
        <v>0</v>
      </c>
      <c r="AP98" s="35">
        <f ca="1" t="shared" si="59"/>
        <v>0</v>
      </c>
      <c r="AQ98" s="35">
        <f t="shared" si="60"/>
        <v>0</v>
      </c>
      <c r="AR98" s="64">
        <f ca="1" t="shared" si="61"/>
        <v>0</v>
      </c>
      <c r="AS98" s="35">
        <f ca="1" t="shared" si="62"/>
        <v>0</v>
      </c>
      <c r="AT98" s="65">
        <f>VLOOKUP(B98,经历时间!A:B,2,FALSE)</f>
        <v>4870.27</v>
      </c>
      <c r="AU98" s="67">
        <f t="shared" si="63"/>
        <v>0</v>
      </c>
      <c r="AV98" s="35">
        <f ca="1" t="shared" si="64"/>
        <v>18</v>
      </c>
      <c r="AW98" s="24">
        <v>0</v>
      </c>
      <c r="AX98" s="35"/>
      <c r="AY98" s="24">
        <f ca="1">IFERROR(VLOOKUP(B98,'兼职+帮忙'!B:AF,28,FALSE),0)</f>
        <v>0</v>
      </c>
      <c r="AZ98" s="35"/>
    </row>
    <row r="99" ht="15.6" customHeight="1" spans="1:52">
      <c r="A99" s="75">
        <v>236219</v>
      </c>
      <c r="B99" s="75" t="s">
        <v>180</v>
      </c>
      <c r="C99" s="35" t="str">
        <f>VLOOKUP(B99,'姓名+分部'!A:B,2,FALSE)</f>
        <v>二分部</v>
      </c>
      <c r="D99" s="35" t="s">
        <v>45</v>
      </c>
      <c r="E99" s="58" t="str">
        <f ca="1" t="shared" si="34"/>
        <v>无排名</v>
      </c>
      <c r="F99" s="35" t="str">
        <f ca="1" t="shared" si="35"/>
        <v>继续培训</v>
      </c>
      <c r="G99" s="35" t="str">
        <f t="shared" si="33"/>
        <v>不考核</v>
      </c>
      <c r="H99" s="59" t="str">
        <f t="shared" si="36"/>
        <v>完成考核</v>
      </c>
      <c r="I99" s="60">
        <v>43024</v>
      </c>
      <c r="J99" s="35">
        <f t="shared" si="37"/>
        <v>9</v>
      </c>
      <c r="K99" s="59">
        <v>43306</v>
      </c>
      <c r="L99" s="58">
        <f t="shared" si="38"/>
        <v>76</v>
      </c>
      <c r="M99" s="58">
        <f t="shared" si="39"/>
        <v>67</v>
      </c>
      <c r="N99" s="59">
        <v>45354</v>
      </c>
      <c r="O99" s="58" t="str">
        <f t="shared" si="40"/>
        <v>未完成</v>
      </c>
      <c r="P99" s="58" t="str">
        <f t="shared" si="41"/>
        <v>未完成</v>
      </c>
      <c r="Q99" s="35"/>
      <c r="R99" s="35"/>
      <c r="S99" s="35" t="str">
        <f t="shared" si="42"/>
        <v>未完成</v>
      </c>
      <c r="T99" s="35"/>
      <c r="U99" s="35" t="str">
        <f t="shared" si="43"/>
        <v>未完成</v>
      </c>
      <c r="V99" s="61"/>
      <c r="W99" s="35" t="str">
        <f t="shared" si="44"/>
        <v>未完成</v>
      </c>
      <c r="X99" s="61"/>
      <c r="Y99" s="62">
        <f ca="1" t="shared" si="45"/>
        <v>86</v>
      </c>
      <c r="Z99" s="58" t="s">
        <v>75</v>
      </c>
      <c r="AA99" s="35">
        <f t="shared" si="46"/>
        <v>5</v>
      </c>
      <c r="AB99" s="58" t="s">
        <v>75</v>
      </c>
      <c r="AC99" s="35">
        <f t="shared" si="47"/>
        <v>10</v>
      </c>
      <c r="AD99" s="58" t="s">
        <v>75</v>
      </c>
      <c r="AE99" s="35">
        <f t="shared" si="48"/>
        <v>5</v>
      </c>
      <c r="AF99" s="63">
        <f t="shared" si="49"/>
        <v>20</v>
      </c>
      <c r="AG99" s="64">
        <f ca="1" t="shared" si="50"/>
        <v>22</v>
      </c>
      <c r="AH99" s="35">
        <f ca="1" t="shared" si="51"/>
        <v>66</v>
      </c>
      <c r="AI99" s="64">
        <f ca="1" t="shared" si="52"/>
        <v>0</v>
      </c>
      <c r="AJ99" s="35">
        <f ca="1" t="shared" si="53"/>
        <v>0</v>
      </c>
      <c r="AK99" s="35">
        <f t="shared" si="54"/>
        <v>0</v>
      </c>
      <c r="AL99" s="64">
        <f ca="1" t="shared" si="55"/>
        <v>0</v>
      </c>
      <c r="AM99" s="35">
        <f ca="1" t="shared" si="56"/>
        <v>0</v>
      </c>
      <c r="AN99" s="35">
        <f t="shared" si="57"/>
        <v>0</v>
      </c>
      <c r="AO99" s="64">
        <f ca="1" t="shared" si="58"/>
        <v>0</v>
      </c>
      <c r="AP99" s="35">
        <f ca="1" t="shared" si="59"/>
        <v>0</v>
      </c>
      <c r="AQ99" s="35">
        <f t="shared" si="60"/>
        <v>0</v>
      </c>
      <c r="AR99" s="64">
        <f ca="1" t="shared" si="61"/>
        <v>0</v>
      </c>
      <c r="AS99" s="35">
        <f ca="1" t="shared" si="62"/>
        <v>0</v>
      </c>
      <c r="AT99" s="65">
        <f>VLOOKUP(B99,经历时间!A:B,2,FALSE)</f>
        <v>3023.09</v>
      </c>
      <c r="AU99" s="67">
        <f t="shared" si="63"/>
        <v>0</v>
      </c>
      <c r="AV99" s="35">
        <f ca="1" t="shared" si="64"/>
        <v>99</v>
      </c>
      <c r="AW99" s="24">
        <v>0</v>
      </c>
      <c r="AX99" s="35"/>
      <c r="AY99" s="24">
        <f ca="1">IFERROR(VLOOKUP(B99,'兼职+帮忙'!B:AF,28,FALSE),0)</f>
        <v>0</v>
      </c>
      <c r="AZ99" s="35"/>
    </row>
    <row r="100" ht="15.6" customHeight="1" spans="1:52">
      <c r="A100" s="75">
        <v>276035</v>
      </c>
      <c r="B100" s="75" t="s">
        <v>181</v>
      </c>
      <c r="C100" s="35" t="str">
        <f>VLOOKUP(B100,'姓名+分部'!A:B,2,FALSE)</f>
        <v>三分部</v>
      </c>
      <c r="D100" s="35" t="s">
        <v>45</v>
      </c>
      <c r="E100" s="58" t="str">
        <f ca="1" t="shared" si="34"/>
        <v>无排名</v>
      </c>
      <c r="F100" s="35" t="str">
        <f ca="1" t="shared" si="35"/>
        <v>继续培训</v>
      </c>
      <c r="G100" s="35" t="str">
        <f t="shared" si="33"/>
        <v>不考核</v>
      </c>
      <c r="H100" s="59" t="str">
        <f t="shared" si="36"/>
        <v>完成考核</v>
      </c>
      <c r="I100" s="60">
        <v>44974</v>
      </c>
      <c r="J100" s="35">
        <f t="shared" si="37"/>
        <v>3</v>
      </c>
      <c r="K100" s="59">
        <v>45084</v>
      </c>
      <c r="L100" s="58">
        <f t="shared" si="38"/>
        <v>15</v>
      </c>
      <c r="M100" s="58">
        <f t="shared" si="39"/>
        <v>11</v>
      </c>
      <c r="N100" s="59">
        <v>45429</v>
      </c>
      <c r="O100" s="58" t="str">
        <f t="shared" si="40"/>
        <v>未完成</v>
      </c>
      <c r="P100" s="58" t="str">
        <f t="shared" si="41"/>
        <v>未完成</v>
      </c>
      <c r="Q100" s="35"/>
      <c r="R100" s="35"/>
      <c r="S100" s="35" t="str">
        <f t="shared" si="42"/>
        <v>未完成</v>
      </c>
      <c r="T100" s="35"/>
      <c r="U100" s="35" t="str">
        <f t="shared" si="43"/>
        <v>未完成</v>
      </c>
      <c r="V100" s="61"/>
      <c r="W100" s="35" t="str">
        <f t="shared" si="44"/>
        <v>未完成</v>
      </c>
      <c r="X100" s="61"/>
      <c r="Y100" s="62">
        <f ca="1" t="shared" si="45"/>
        <v>77</v>
      </c>
      <c r="Z100" s="58" t="s">
        <v>75</v>
      </c>
      <c r="AA100" s="35">
        <f t="shared" si="46"/>
        <v>5</v>
      </c>
      <c r="AB100" s="58" t="s">
        <v>75</v>
      </c>
      <c r="AC100" s="35">
        <f t="shared" si="47"/>
        <v>10</v>
      </c>
      <c r="AD100" s="58" t="s">
        <v>75</v>
      </c>
      <c r="AE100" s="35">
        <f t="shared" si="48"/>
        <v>5</v>
      </c>
      <c r="AF100" s="63">
        <f t="shared" si="49"/>
        <v>20</v>
      </c>
      <c r="AG100" s="64">
        <f ca="1" t="shared" si="50"/>
        <v>19</v>
      </c>
      <c r="AH100" s="35">
        <f ca="1" t="shared" si="51"/>
        <v>57</v>
      </c>
      <c r="AI100" s="64">
        <f ca="1" t="shared" si="52"/>
        <v>0</v>
      </c>
      <c r="AJ100" s="35">
        <f ca="1" t="shared" si="53"/>
        <v>0</v>
      </c>
      <c r="AK100" s="35">
        <f t="shared" si="54"/>
        <v>0</v>
      </c>
      <c r="AL100" s="64">
        <f ca="1" t="shared" si="55"/>
        <v>0</v>
      </c>
      <c r="AM100" s="35">
        <f ca="1" t="shared" si="56"/>
        <v>0</v>
      </c>
      <c r="AN100" s="35">
        <f t="shared" si="57"/>
        <v>0</v>
      </c>
      <c r="AO100" s="64">
        <f ca="1" t="shared" si="58"/>
        <v>0</v>
      </c>
      <c r="AP100" s="35">
        <f ca="1" t="shared" si="59"/>
        <v>0</v>
      </c>
      <c r="AQ100" s="35">
        <f t="shared" si="60"/>
        <v>0</v>
      </c>
      <c r="AR100" s="64">
        <f ca="1" t="shared" si="61"/>
        <v>0</v>
      </c>
      <c r="AS100" s="35">
        <f ca="1" t="shared" si="62"/>
        <v>0</v>
      </c>
      <c r="AT100" s="65">
        <f>VLOOKUP(B100,经历时间!A:B,2,FALSE)</f>
        <v>1561</v>
      </c>
      <c r="AU100" s="67">
        <f t="shared" si="63"/>
        <v>0</v>
      </c>
      <c r="AV100" s="35">
        <f ca="1" t="shared" si="64"/>
        <v>34</v>
      </c>
      <c r="AW100" s="24">
        <v>0</v>
      </c>
      <c r="AX100" s="35"/>
      <c r="AY100" s="24">
        <f ca="1">IFERROR(VLOOKUP(B100,'兼职+帮忙'!B:AF,28,FALSE),0)</f>
        <v>0</v>
      </c>
      <c r="AZ100" s="35"/>
    </row>
    <row r="101" ht="15.6" customHeight="1" spans="1:52">
      <c r="A101" s="15">
        <v>281004</v>
      </c>
      <c r="B101" s="15" t="s">
        <v>182</v>
      </c>
      <c r="C101" s="35" t="str">
        <f>VLOOKUP(B101,'姓名+分部'!A:B,2,FALSE)</f>
        <v>一分部</v>
      </c>
      <c r="D101" s="35" t="str">
        <f ca="1">_xlfn.IFS(K101&gt;0,"不考核",H101&gt;0,"B",F101&gt;0,"A2",F101=0,"学员")</f>
        <v>B</v>
      </c>
      <c r="E101" s="58" t="str">
        <f ca="1" t="shared" si="34"/>
        <v>无排名</v>
      </c>
      <c r="F101" s="35" t="str">
        <f ca="1" t="shared" si="35"/>
        <v>继续培训</v>
      </c>
      <c r="G101" s="35" t="str">
        <f t="shared" si="33"/>
        <v>A2</v>
      </c>
      <c r="H101" s="59">
        <f t="shared" si="36"/>
        <v>46003</v>
      </c>
      <c r="I101" s="60">
        <v>45883</v>
      </c>
      <c r="J101" s="35" t="str">
        <f t="shared" si="37"/>
        <v>未完成</v>
      </c>
      <c r="K101" s="35"/>
      <c r="L101" s="58" t="str">
        <f t="shared" si="38"/>
        <v>未完成</v>
      </c>
      <c r="M101" s="58" t="str">
        <f t="shared" si="39"/>
        <v>未完成</v>
      </c>
      <c r="N101" s="35"/>
      <c r="O101" s="58" t="str">
        <f t="shared" si="40"/>
        <v>未完成</v>
      </c>
      <c r="P101" s="58" t="str">
        <f t="shared" si="41"/>
        <v>未完成</v>
      </c>
      <c r="Q101" s="35"/>
      <c r="R101" s="35"/>
      <c r="S101" s="35" t="str">
        <f t="shared" si="42"/>
        <v>未完成</v>
      </c>
      <c r="T101" s="35"/>
      <c r="U101" s="35" t="str">
        <f t="shared" si="43"/>
        <v>未完成</v>
      </c>
      <c r="V101" s="61"/>
      <c r="W101" s="35" t="str">
        <f t="shared" si="44"/>
        <v>未完成</v>
      </c>
      <c r="X101" s="61"/>
      <c r="Y101" s="62">
        <f ca="1" t="shared" si="45"/>
        <v>20</v>
      </c>
      <c r="Z101" s="58" t="s">
        <v>75</v>
      </c>
      <c r="AA101" s="35">
        <f t="shared" si="46"/>
        <v>5</v>
      </c>
      <c r="AB101" s="58" t="s">
        <v>75</v>
      </c>
      <c r="AC101" s="35">
        <f t="shared" si="47"/>
        <v>10</v>
      </c>
      <c r="AD101" s="58" t="s">
        <v>75</v>
      </c>
      <c r="AE101" s="35">
        <f t="shared" si="48"/>
        <v>5</v>
      </c>
      <c r="AF101" s="63">
        <f t="shared" si="49"/>
        <v>0</v>
      </c>
      <c r="AG101" s="64">
        <f ca="1" t="shared" si="50"/>
        <v>0</v>
      </c>
      <c r="AH101" s="35">
        <f ca="1" t="shared" si="51"/>
        <v>0</v>
      </c>
      <c r="AI101" s="64">
        <f ca="1" t="shared" si="52"/>
        <v>0</v>
      </c>
      <c r="AJ101" s="35">
        <f ca="1" t="shared" si="53"/>
        <v>0</v>
      </c>
      <c r="AK101" s="35">
        <f t="shared" si="54"/>
        <v>0</v>
      </c>
      <c r="AL101" s="64">
        <f ca="1" t="shared" si="55"/>
        <v>0</v>
      </c>
      <c r="AM101" s="35">
        <f ca="1" t="shared" si="56"/>
        <v>0</v>
      </c>
      <c r="AN101" s="35">
        <f t="shared" si="57"/>
        <v>0</v>
      </c>
      <c r="AO101" s="64">
        <f ca="1" t="shared" si="58"/>
        <v>0</v>
      </c>
      <c r="AP101" s="35">
        <f ca="1" t="shared" si="59"/>
        <v>0</v>
      </c>
      <c r="AQ101" s="35">
        <f t="shared" si="60"/>
        <v>0</v>
      </c>
      <c r="AR101" s="64">
        <f ca="1" t="shared" si="61"/>
        <v>0</v>
      </c>
      <c r="AS101" s="35">
        <f ca="1" t="shared" si="62"/>
        <v>0</v>
      </c>
      <c r="AT101" s="65">
        <f>VLOOKUP(B101,经历时间!A:B,2,FALSE)</f>
        <v>1141.07</v>
      </c>
      <c r="AU101" s="67">
        <f t="shared" si="63"/>
        <v>0</v>
      </c>
      <c r="AV101" s="35">
        <f ca="1" t="shared" si="64"/>
        <v>5</v>
      </c>
      <c r="AW101" s="24">
        <v>0</v>
      </c>
      <c r="AX101" s="35"/>
      <c r="AY101" s="24">
        <f ca="1">IFERROR(VLOOKUP(B101,'兼职+帮忙'!B:AF,28,FALSE),0)</f>
        <v>0</v>
      </c>
      <c r="AZ101" s="35"/>
    </row>
    <row r="102" ht="15.6" customHeight="1" spans="1:52">
      <c r="A102" s="34">
        <v>280956</v>
      </c>
      <c r="B102" s="70" t="s">
        <v>183</v>
      </c>
      <c r="C102" s="35" t="str">
        <f>VLOOKUP(B102,'姓名+分部'!A:B,2,FALSE)</f>
        <v>三分部</v>
      </c>
      <c r="D102" s="57" t="s">
        <v>40</v>
      </c>
      <c r="E102" s="58" t="str">
        <f ca="1" t="shared" si="34"/>
        <v>无排名</v>
      </c>
      <c r="F102" s="35" t="str">
        <f ca="1" t="shared" si="35"/>
        <v>继续培训</v>
      </c>
      <c r="G102" s="35" t="str">
        <f t="shared" si="33"/>
        <v>A2</v>
      </c>
      <c r="H102" s="59">
        <f t="shared" si="36"/>
        <v>45532</v>
      </c>
      <c r="I102" s="69">
        <v>45412</v>
      </c>
      <c r="J102" s="35" t="str">
        <f t="shared" si="37"/>
        <v>未完成</v>
      </c>
      <c r="K102" s="59"/>
      <c r="L102" s="58" t="str">
        <f t="shared" si="38"/>
        <v>未完成</v>
      </c>
      <c r="M102" s="58" t="str">
        <f t="shared" si="39"/>
        <v>未完成</v>
      </c>
      <c r="N102" s="35"/>
      <c r="O102" s="58" t="str">
        <f t="shared" si="40"/>
        <v>未完成</v>
      </c>
      <c r="P102" s="58" t="str">
        <f t="shared" si="41"/>
        <v>未完成</v>
      </c>
      <c r="Q102" s="35"/>
      <c r="R102" s="35"/>
      <c r="S102" s="35" t="str">
        <f t="shared" si="42"/>
        <v>未完成</v>
      </c>
      <c r="T102" s="35"/>
      <c r="U102" s="35" t="str">
        <f t="shared" si="43"/>
        <v>未完成</v>
      </c>
      <c r="V102" s="61"/>
      <c r="W102" s="35" t="str">
        <f t="shared" si="44"/>
        <v>未完成</v>
      </c>
      <c r="X102" s="61"/>
      <c r="Y102" s="62">
        <f ca="1" t="shared" si="45"/>
        <v>30</v>
      </c>
      <c r="Z102" s="58" t="s">
        <v>75</v>
      </c>
      <c r="AA102" s="35">
        <f t="shared" si="46"/>
        <v>5</v>
      </c>
      <c r="AB102" s="58" t="s">
        <v>75</v>
      </c>
      <c r="AC102" s="35">
        <f t="shared" si="47"/>
        <v>10</v>
      </c>
      <c r="AD102" s="58" t="s">
        <v>75</v>
      </c>
      <c r="AE102" s="35">
        <f t="shared" si="48"/>
        <v>5</v>
      </c>
      <c r="AF102" s="63">
        <f t="shared" si="49"/>
        <v>0</v>
      </c>
      <c r="AG102" s="64">
        <f ca="1" t="shared" si="50"/>
        <v>0</v>
      </c>
      <c r="AH102" s="35">
        <f ca="1" t="shared" si="51"/>
        <v>0</v>
      </c>
      <c r="AI102" s="64">
        <f ca="1" t="shared" si="52"/>
        <v>0</v>
      </c>
      <c r="AJ102" s="35">
        <f ca="1" t="shared" si="53"/>
        <v>0</v>
      </c>
      <c r="AK102" s="35">
        <f t="shared" si="54"/>
        <v>0</v>
      </c>
      <c r="AL102" s="64">
        <f ca="1" t="shared" si="55"/>
        <v>0</v>
      </c>
      <c r="AM102" s="35">
        <f ca="1" t="shared" si="56"/>
        <v>0</v>
      </c>
      <c r="AN102" s="35">
        <f t="shared" si="57"/>
        <v>0</v>
      </c>
      <c r="AO102" s="64">
        <f ca="1" t="shared" si="58"/>
        <v>0</v>
      </c>
      <c r="AP102" s="35">
        <f ca="1" t="shared" si="59"/>
        <v>0</v>
      </c>
      <c r="AQ102" s="35">
        <f t="shared" si="60"/>
        <v>0</v>
      </c>
      <c r="AR102" s="64">
        <f ca="1" t="shared" si="61"/>
        <v>0</v>
      </c>
      <c r="AS102" s="35">
        <f ca="1" t="shared" si="62"/>
        <v>0</v>
      </c>
      <c r="AT102" s="65">
        <f>VLOOKUP(B102,经历时间!A:B,2,FALSE)</f>
        <v>715.44</v>
      </c>
      <c r="AU102" s="67">
        <f t="shared" si="63"/>
        <v>0</v>
      </c>
      <c r="AV102" s="35">
        <f ca="1" t="shared" si="64"/>
        <v>20</v>
      </c>
      <c r="AW102" s="24">
        <v>10</v>
      </c>
      <c r="AX102" s="35"/>
      <c r="AY102" s="24">
        <f ca="1">IFERROR(VLOOKUP(B102,'兼职+帮忙'!B:AF,28,FALSE),0)</f>
        <v>0</v>
      </c>
      <c r="AZ102" s="35"/>
    </row>
    <row r="103" ht="15.6" customHeight="1" spans="1:52">
      <c r="A103" s="34">
        <v>266461</v>
      </c>
      <c r="B103" s="70" t="s">
        <v>184</v>
      </c>
      <c r="C103" s="35" t="str">
        <f>VLOOKUP(B103,'姓名+分部'!A:B,2,FALSE)</f>
        <v>三分部</v>
      </c>
      <c r="D103" s="57" t="s">
        <v>40</v>
      </c>
      <c r="E103" s="58" t="str">
        <f ca="1" t="shared" si="34"/>
        <v>无排名</v>
      </c>
      <c r="F103" s="35" t="str">
        <f ca="1" t="shared" si="35"/>
        <v>继续培训</v>
      </c>
      <c r="G103" s="35" t="str">
        <f t="shared" si="33"/>
        <v>A2</v>
      </c>
      <c r="H103" s="59">
        <f t="shared" si="36"/>
        <v>45148</v>
      </c>
      <c r="I103" s="69">
        <v>45028</v>
      </c>
      <c r="J103" s="35" t="str">
        <f t="shared" si="37"/>
        <v>未完成</v>
      </c>
      <c r="K103" s="35"/>
      <c r="L103" s="58" t="str">
        <f t="shared" si="38"/>
        <v>未完成</v>
      </c>
      <c r="M103" s="58" t="str">
        <f t="shared" si="39"/>
        <v>未完成</v>
      </c>
      <c r="N103" s="35"/>
      <c r="O103" s="58" t="str">
        <f t="shared" si="40"/>
        <v>未完成</v>
      </c>
      <c r="P103" s="58" t="str">
        <f t="shared" si="41"/>
        <v>未完成</v>
      </c>
      <c r="Q103" s="35"/>
      <c r="R103" s="35"/>
      <c r="S103" s="35" t="str">
        <f t="shared" si="42"/>
        <v>未完成</v>
      </c>
      <c r="T103" s="35"/>
      <c r="U103" s="35" t="str">
        <f t="shared" si="43"/>
        <v>未完成</v>
      </c>
      <c r="V103" s="61"/>
      <c r="W103" s="35" t="str">
        <f t="shared" si="44"/>
        <v>未完成</v>
      </c>
      <c r="X103" s="61"/>
      <c r="Y103" s="62">
        <f ca="1" t="shared" si="45"/>
        <v>32</v>
      </c>
      <c r="Z103" s="58" t="s">
        <v>75</v>
      </c>
      <c r="AA103" s="35">
        <f t="shared" si="46"/>
        <v>5</v>
      </c>
      <c r="AB103" s="58" t="s">
        <v>75</v>
      </c>
      <c r="AC103" s="35">
        <f t="shared" si="47"/>
        <v>10</v>
      </c>
      <c r="AD103" s="58" t="s">
        <v>75</v>
      </c>
      <c r="AE103" s="35">
        <f t="shared" si="48"/>
        <v>5</v>
      </c>
      <c r="AF103" s="63">
        <f t="shared" si="49"/>
        <v>0</v>
      </c>
      <c r="AG103" s="64">
        <f ca="1" t="shared" si="50"/>
        <v>0</v>
      </c>
      <c r="AH103" s="35">
        <f ca="1" t="shared" si="51"/>
        <v>0</v>
      </c>
      <c r="AI103" s="64">
        <f ca="1" t="shared" si="52"/>
        <v>0</v>
      </c>
      <c r="AJ103" s="35">
        <f ca="1" t="shared" si="53"/>
        <v>0</v>
      </c>
      <c r="AK103" s="35">
        <f t="shared" si="54"/>
        <v>0</v>
      </c>
      <c r="AL103" s="64">
        <f ca="1" t="shared" si="55"/>
        <v>0</v>
      </c>
      <c r="AM103" s="35">
        <f ca="1" t="shared" si="56"/>
        <v>0</v>
      </c>
      <c r="AN103" s="35">
        <f t="shared" si="57"/>
        <v>0</v>
      </c>
      <c r="AO103" s="64">
        <f ca="1" t="shared" si="58"/>
        <v>0</v>
      </c>
      <c r="AP103" s="35">
        <f ca="1" t="shared" si="59"/>
        <v>0</v>
      </c>
      <c r="AQ103" s="35">
        <f t="shared" si="60"/>
        <v>0</v>
      </c>
      <c r="AR103" s="64">
        <f ca="1" t="shared" si="61"/>
        <v>0</v>
      </c>
      <c r="AS103" s="35">
        <f ca="1" t="shared" si="62"/>
        <v>0</v>
      </c>
      <c r="AT103" s="65">
        <f>VLOOKUP(B103,经历时间!A:B,2,FALSE)</f>
        <v>885.45</v>
      </c>
      <c r="AU103" s="67">
        <f t="shared" si="63"/>
        <v>0</v>
      </c>
      <c r="AV103" s="35">
        <f ca="1" t="shared" si="64"/>
        <v>33</v>
      </c>
      <c r="AW103" s="24">
        <v>7</v>
      </c>
      <c r="AX103" s="35"/>
      <c r="AY103" s="24">
        <f ca="1">IFERROR(VLOOKUP(B103,'兼职+帮忙'!B:AF,28,FALSE),0)</f>
        <v>5</v>
      </c>
      <c r="AZ103" s="35"/>
    </row>
    <row r="104" ht="15.6" customHeight="1" spans="1:52">
      <c r="A104" s="34">
        <v>275006</v>
      </c>
      <c r="B104" s="70" t="s">
        <v>185</v>
      </c>
      <c r="C104" s="35" t="str">
        <f>VLOOKUP(B104,'姓名+分部'!A:B,2,FALSE)</f>
        <v>一分部</v>
      </c>
      <c r="D104" s="57" t="s">
        <v>40</v>
      </c>
      <c r="E104" s="58" t="str">
        <f ca="1" t="shared" si="34"/>
        <v>无排名</v>
      </c>
      <c r="F104" s="35" t="str">
        <f ca="1" t="shared" si="35"/>
        <v>继续培训</v>
      </c>
      <c r="G104" s="35" t="str">
        <f t="shared" si="33"/>
        <v>A2</v>
      </c>
      <c r="H104" s="59">
        <f t="shared" si="36"/>
        <v>45862</v>
      </c>
      <c r="I104" s="69">
        <v>45742</v>
      </c>
      <c r="J104" s="35" t="str">
        <f t="shared" si="37"/>
        <v>未完成</v>
      </c>
      <c r="K104" s="35"/>
      <c r="L104" s="58" t="str">
        <f t="shared" si="38"/>
        <v>未完成</v>
      </c>
      <c r="M104" s="58" t="str">
        <f t="shared" si="39"/>
        <v>未完成</v>
      </c>
      <c r="N104" s="35"/>
      <c r="O104" s="58" t="str">
        <f t="shared" si="40"/>
        <v>未完成</v>
      </c>
      <c r="P104" s="58" t="str">
        <f t="shared" si="41"/>
        <v>未完成</v>
      </c>
      <c r="Q104" s="35"/>
      <c r="R104" s="35"/>
      <c r="S104" s="35" t="str">
        <f t="shared" si="42"/>
        <v>未完成</v>
      </c>
      <c r="T104" s="35"/>
      <c r="U104" s="35" t="str">
        <f t="shared" si="43"/>
        <v>未完成</v>
      </c>
      <c r="V104" s="61"/>
      <c r="W104" s="35" t="str">
        <f t="shared" si="44"/>
        <v>未完成</v>
      </c>
      <c r="X104" s="61"/>
      <c r="Y104" s="62">
        <f ca="1" t="shared" si="45"/>
        <v>25</v>
      </c>
      <c r="Z104" s="58" t="s">
        <v>75</v>
      </c>
      <c r="AA104" s="35">
        <f t="shared" si="46"/>
        <v>5</v>
      </c>
      <c r="AB104" s="58" t="s">
        <v>75</v>
      </c>
      <c r="AC104" s="35">
        <f t="shared" si="47"/>
        <v>10</v>
      </c>
      <c r="AD104" s="58" t="s">
        <v>75</v>
      </c>
      <c r="AE104" s="35">
        <f t="shared" si="48"/>
        <v>5</v>
      </c>
      <c r="AF104" s="63">
        <f t="shared" si="49"/>
        <v>0</v>
      </c>
      <c r="AG104" s="64">
        <f ca="1" t="shared" si="50"/>
        <v>0</v>
      </c>
      <c r="AH104" s="35">
        <f ca="1" t="shared" si="51"/>
        <v>0</v>
      </c>
      <c r="AI104" s="64">
        <f ca="1" t="shared" si="52"/>
        <v>0</v>
      </c>
      <c r="AJ104" s="35">
        <f ca="1" t="shared" si="53"/>
        <v>0</v>
      </c>
      <c r="AK104" s="35">
        <f t="shared" si="54"/>
        <v>0</v>
      </c>
      <c r="AL104" s="64">
        <f ca="1" t="shared" si="55"/>
        <v>0</v>
      </c>
      <c r="AM104" s="35">
        <f ca="1" t="shared" si="56"/>
        <v>0</v>
      </c>
      <c r="AN104" s="35">
        <f t="shared" si="57"/>
        <v>0</v>
      </c>
      <c r="AO104" s="64">
        <f ca="1" t="shared" si="58"/>
        <v>0</v>
      </c>
      <c r="AP104" s="35">
        <f ca="1" t="shared" si="59"/>
        <v>0</v>
      </c>
      <c r="AQ104" s="35">
        <f t="shared" si="60"/>
        <v>0</v>
      </c>
      <c r="AR104" s="64">
        <f ca="1" t="shared" si="61"/>
        <v>0</v>
      </c>
      <c r="AS104" s="35">
        <f ca="1" t="shared" si="62"/>
        <v>0</v>
      </c>
      <c r="AT104" s="65">
        <f>VLOOKUP(B104,经历时间!A:B,2,FALSE)</f>
        <v>1044.07</v>
      </c>
      <c r="AU104" s="67">
        <f t="shared" si="63"/>
        <v>0</v>
      </c>
      <c r="AV104" s="35">
        <f ca="1" t="shared" si="64"/>
        <v>9</v>
      </c>
      <c r="AW104" s="24">
        <v>5</v>
      </c>
      <c r="AX104" s="35"/>
      <c r="AY104" s="24">
        <f ca="1">IFERROR(VLOOKUP(B104,'兼职+帮忙'!B:AF,28,FALSE),0)</f>
        <v>0</v>
      </c>
      <c r="AZ104" s="35"/>
    </row>
    <row r="105" ht="15.6" customHeight="1" spans="1:52">
      <c r="A105" s="34">
        <v>211367</v>
      </c>
      <c r="B105" s="70" t="s">
        <v>186</v>
      </c>
      <c r="C105" s="35" t="str">
        <f>VLOOKUP(B105,'姓名+分部'!A:B,2,FALSE)</f>
        <v>二分部</v>
      </c>
      <c r="D105" s="57" t="s">
        <v>40</v>
      </c>
      <c r="E105" s="58" t="str">
        <f ca="1" t="shared" si="34"/>
        <v>无排名</v>
      </c>
      <c r="F105" s="35" t="str">
        <f ca="1" t="shared" si="35"/>
        <v>继续培训</v>
      </c>
      <c r="G105" s="35" t="str">
        <f t="shared" si="33"/>
        <v>A2</v>
      </c>
      <c r="H105" s="59">
        <f t="shared" si="36"/>
        <v>45822</v>
      </c>
      <c r="I105" s="69">
        <v>45702</v>
      </c>
      <c r="J105" s="35" t="str">
        <f t="shared" si="37"/>
        <v>未完成</v>
      </c>
      <c r="K105" s="35"/>
      <c r="L105" s="58" t="str">
        <f t="shared" si="38"/>
        <v>未完成</v>
      </c>
      <c r="M105" s="58" t="str">
        <f t="shared" si="39"/>
        <v>未完成</v>
      </c>
      <c r="N105" s="35"/>
      <c r="O105" s="58" t="str">
        <f t="shared" si="40"/>
        <v>未完成</v>
      </c>
      <c r="P105" s="58" t="str">
        <f t="shared" si="41"/>
        <v>未完成</v>
      </c>
      <c r="Q105" s="35"/>
      <c r="R105" s="35"/>
      <c r="S105" s="35" t="str">
        <f t="shared" si="42"/>
        <v>未完成</v>
      </c>
      <c r="T105" s="35"/>
      <c r="U105" s="35" t="str">
        <f t="shared" si="43"/>
        <v>未完成</v>
      </c>
      <c r="V105" s="61"/>
      <c r="W105" s="35" t="str">
        <f t="shared" si="44"/>
        <v>未完成</v>
      </c>
      <c r="X105" s="61"/>
      <c r="Y105" s="62">
        <f ca="1" t="shared" si="45"/>
        <v>24</v>
      </c>
      <c r="Z105" s="58" t="s">
        <v>75</v>
      </c>
      <c r="AA105" s="35">
        <f t="shared" si="46"/>
        <v>5</v>
      </c>
      <c r="AB105" s="58" t="s">
        <v>75</v>
      </c>
      <c r="AC105" s="35">
        <f t="shared" si="47"/>
        <v>10</v>
      </c>
      <c r="AD105" s="58" t="s">
        <v>75</v>
      </c>
      <c r="AE105" s="35">
        <f t="shared" si="48"/>
        <v>5</v>
      </c>
      <c r="AF105" s="63">
        <f t="shared" si="49"/>
        <v>0</v>
      </c>
      <c r="AG105" s="64">
        <f ca="1" t="shared" si="50"/>
        <v>0</v>
      </c>
      <c r="AH105" s="35">
        <f ca="1" t="shared" si="51"/>
        <v>0</v>
      </c>
      <c r="AI105" s="64">
        <f ca="1" t="shared" si="52"/>
        <v>0</v>
      </c>
      <c r="AJ105" s="35">
        <f ca="1" t="shared" si="53"/>
        <v>0</v>
      </c>
      <c r="AK105" s="35">
        <f t="shared" si="54"/>
        <v>0</v>
      </c>
      <c r="AL105" s="64">
        <f ca="1" t="shared" si="55"/>
        <v>0</v>
      </c>
      <c r="AM105" s="35">
        <f ca="1" t="shared" si="56"/>
        <v>0</v>
      </c>
      <c r="AN105" s="35">
        <f t="shared" si="57"/>
        <v>0</v>
      </c>
      <c r="AO105" s="64">
        <f ca="1" t="shared" si="58"/>
        <v>0</v>
      </c>
      <c r="AP105" s="35">
        <f ca="1" t="shared" si="59"/>
        <v>0</v>
      </c>
      <c r="AQ105" s="35">
        <f t="shared" si="60"/>
        <v>0</v>
      </c>
      <c r="AR105" s="64">
        <f ca="1" t="shared" si="61"/>
        <v>0</v>
      </c>
      <c r="AS105" s="35">
        <f ca="1" t="shared" si="62"/>
        <v>0</v>
      </c>
      <c r="AT105" s="65">
        <f>VLOOKUP(B105,经历时间!A:B,2,FALSE)</f>
        <v>9267.55</v>
      </c>
      <c r="AU105" s="67">
        <f t="shared" si="63"/>
        <v>0</v>
      </c>
      <c r="AV105" s="35">
        <f ca="1" t="shared" si="64"/>
        <v>11</v>
      </c>
      <c r="AW105" s="24">
        <v>4</v>
      </c>
      <c r="AX105" s="35"/>
      <c r="AY105" s="24">
        <f ca="1">IFERROR(VLOOKUP(B105,'兼职+帮忙'!B:AF,28,FALSE),0)</f>
        <v>0</v>
      </c>
      <c r="AZ105" s="35"/>
    </row>
    <row r="106" ht="15.6" customHeight="1" spans="1:52">
      <c r="A106" s="34">
        <v>286123</v>
      </c>
      <c r="B106" s="70" t="s">
        <v>187</v>
      </c>
      <c r="C106" s="35" t="str">
        <f>VLOOKUP(B106,'姓名+分部'!A:B,2,FALSE)</f>
        <v>二分部</v>
      </c>
      <c r="D106" s="57" t="s">
        <v>40</v>
      </c>
      <c r="E106" s="58" t="str">
        <f ca="1" t="shared" si="34"/>
        <v>无排名</v>
      </c>
      <c r="F106" s="35" t="str">
        <f ca="1" t="shared" si="35"/>
        <v>继续培训</v>
      </c>
      <c r="G106" s="35" t="str">
        <f t="shared" si="33"/>
        <v>A2</v>
      </c>
      <c r="H106" s="59">
        <f t="shared" si="36"/>
        <v>45769</v>
      </c>
      <c r="I106" s="69">
        <v>45649</v>
      </c>
      <c r="J106" s="35" t="str">
        <f t="shared" si="37"/>
        <v>未完成</v>
      </c>
      <c r="K106" s="35"/>
      <c r="L106" s="58" t="str">
        <f t="shared" si="38"/>
        <v>未完成</v>
      </c>
      <c r="M106" s="58" t="str">
        <f t="shared" si="39"/>
        <v>未完成</v>
      </c>
      <c r="N106" s="35"/>
      <c r="O106" s="58" t="str">
        <f t="shared" si="40"/>
        <v>未完成</v>
      </c>
      <c r="P106" s="58" t="str">
        <f t="shared" si="41"/>
        <v>未完成</v>
      </c>
      <c r="Q106" s="35"/>
      <c r="R106" s="35"/>
      <c r="S106" s="35" t="str">
        <f t="shared" si="42"/>
        <v>未完成</v>
      </c>
      <c r="T106" s="35"/>
      <c r="U106" s="35" t="str">
        <f t="shared" si="43"/>
        <v>未完成</v>
      </c>
      <c r="V106" s="61"/>
      <c r="W106" s="35" t="str">
        <f t="shared" si="44"/>
        <v>未完成</v>
      </c>
      <c r="X106" s="61"/>
      <c r="Y106" s="62">
        <f ca="1" t="shared" si="45"/>
        <v>23</v>
      </c>
      <c r="Z106" s="58" t="s">
        <v>75</v>
      </c>
      <c r="AA106" s="35">
        <f t="shared" si="46"/>
        <v>5</v>
      </c>
      <c r="AB106" s="58" t="s">
        <v>75</v>
      </c>
      <c r="AC106" s="35">
        <f t="shared" si="47"/>
        <v>10</v>
      </c>
      <c r="AD106" s="58" t="s">
        <v>75</v>
      </c>
      <c r="AE106" s="35">
        <f t="shared" si="48"/>
        <v>5</v>
      </c>
      <c r="AF106" s="63">
        <f t="shared" si="49"/>
        <v>0</v>
      </c>
      <c r="AG106" s="64">
        <f ca="1" t="shared" si="50"/>
        <v>0</v>
      </c>
      <c r="AH106" s="35">
        <f ca="1" t="shared" si="51"/>
        <v>0</v>
      </c>
      <c r="AI106" s="64">
        <f ca="1" t="shared" si="52"/>
        <v>0</v>
      </c>
      <c r="AJ106" s="35">
        <f ca="1" t="shared" si="53"/>
        <v>0</v>
      </c>
      <c r="AK106" s="35">
        <f t="shared" si="54"/>
        <v>0</v>
      </c>
      <c r="AL106" s="64">
        <f ca="1" t="shared" si="55"/>
        <v>0</v>
      </c>
      <c r="AM106" s="35">
        <f ca="1" t="shared" si="56"/>
        <v>0</v>
      </c>
      <c r="AN106" s="35">
        <f t="shared" si="57"/>
        <v>0</v>
      </c>
      <c r="AO106" s="64">
        <f ca="1" t="shared" si="58"/>
        <v>0</v>
      </c>
      <c r="AP106" s="35">
        <f ca="1" t="shared" si="59"/>
        <v>0</v>
      </c>
      <c r="AQ106" s="35">
        <f t="shared" si="60"/>
        <v>0</v>
      </c>
      <c r="AR106" s="64">
        <f ca="1" t="shared" si="61"/>
        <v>0</v>
      </c>
      <c r="AS106" s="35">
        <f ca="1" t="shared" si="62"/>
        <v>0</v>
      </c>
      <c r="AT106" s="65">
        <f>VLOOKUP(B106,经历时间!A:B,2,FALSE)</f>
        <v>956.49</v>
      </c>
      <c r="AU106" s="67">
        <f t="shared" si="63"/>
        <v>0</v>
      </c>
      <c r="AV106" s="35">
        <f ca="1" t="shared" si="64"/>
        <v>12</v>
      </c>
      <c r="AW106" s="24">
        <v>3</v>
      </c>
      <c r="AX106" s="35"/>
      <c r="AY106" s="24">
        <f ca="1">IFERROR(VLOOKUP(B106,'兼职+帮忙'!B:AF,28,FALSE),0)</f>
        <v>0</v>
      </c>
      <c r="AZ106" s="35"/>
    </row>
    <row r="107" ht="15.6" customHeight="1" spans="1:52">
      <c r="A107" s="34">
        <v>279043</v>
      </c>
      <c r="B107" s="70" t="s">
        <v>188</v>
      </c>
      <c r="C107" s="35" t="str">
        <f>VLOOKUP(B107,'姓名+分部'!A:B,2,FALSE)</f>
        <v>二分部</v>
      </c>
      <c r="D107" s="57" t="s">
        <v>40</v>
      </c>
      <c r="E107" s="58" t="str">
        <f ca="1" t="shared" si="34"/>
        <v>无排名</v>
      </c>
      <c r="F107" s="35" t="str">
        <f ca="1" t="shared" si="35"/>
        <v>继续培训</v>
      </c>
      <c r="G107" s="35" t="str">
        <f t="shared" si="33"/>
        <v>A2</v>
      </c>
      <c r="H107" s="59">
        <f t="shared" si="36"/>
        <v>45734</v>
      </c>
      <c r="I107" s="69">
        <v>45614</v>
      </c>
      <c r="J107" s="35" t="str">
        <f t="shared" si="37"/>
        <v>未完成</v>
      </c>
      <c r="K107" s="35"/>
      <c r="L107" s="58" t="str">
        <f t="shared" si="38"/>
        <v>未完成</v>
      </c>
      <c r="M107" s="58" t="str">
        <f t="shared" si="39"/>
        <v>未完成</v>
      </c>
      <c r="N107" s="35"/>
      <c r="O107" s="58" t="str">
        <f t="shared" si="40"/>
        <v>未完成</v>
      </c>
      <c r="P107" s="58" t="str">
        <f t="shared" si="41"/>
        <v>未完成</v>
      </c>
      <c r="Q107" s="35"/>
      <c r="R107" s="35"/>
      <c r="S107" s="35" t="str">
        <f t="shared" si="42"/>
        <v>未完成</v>
      </c>
      <c r="T107" s="35"/>
      <c r="U107" s="35" t="str">
        <f t="shared" si="43"/>
        <v>未完成</v>
      </c>
      <c r="V107" s="61"/>
      <c r="W107" s="35" t="str">
        <f t="shared" si="44"/>
        <v>未完成</v>
      </c>
      <c r="X107" s="61"/>
      <c r="Y107" s="62">
        <f ca="1" t="shared" si="45"/>
        <v>22</v>
      </c>
      <c r="Z107" s="58" t="s">
        <v>75</v>
      </c>
      <c r="AA107" s="35">
        <f t="shared" si="46"/>
        <v>5</v>
      </c>
      <c r="AB107" s="58" t="s">
        <v>75</v>
      </c>
      <c r="AC107" s="35">
        <f t="shared" si="47"/>
        <v>10</v>
      </c>
      <c r="AD107" s="58" t="s">
        <v>75</v>
      </c>
      <c r="AE107" s="35">
        <f t="shared" si="48"/>
        <v>5</v>
      </c>
      <c r="AF107" s="63">
        <f t="shared" si="49"/>
        <v>0</v>
      </c>
      <c r="AG107" s="64">
        <f ca="1" t="shared" si="50"/>
        <v>0</v>
      </c>
      <c r="AH107" s="35">
        <f ca="1" t="shared" si="51"/>
        <v>0</v>
      </c>
      <c r="AI107" s="64">
        <f ca="1" t="shared" si="52"/>
        <v>0</v>
      </c>
      <c r="AJ107" s="35">
        <f ca="1" t="shared" si="53"/>
        <v>0</v>
      </c>
      <c r="AK107" s="35">
        <f t="shared" si="54"/>
        <v>0</v>
      </c>
      <c r="AL107" s="64">
        <f ca="1" t="shared" si="55"/>
        <v>0</v>
      </c>
      <c r="AM107" s="35">
        <f ca="1" t="shared" si="56"/>
        <v>0</v>
      </c>
      <c r="AN107" s="35">
        <f t="shared" si="57"/>
        <v>0</v>
      </c>
      <c r="AO107" s="64">
        <f ca="1" t="shared" si="58"/>
        <v>0</v>
      </c>
      <c r="AP107" s="35">
        <f ca="1" t="shared" si="59"/>
        <v>0</v>
      </c>
      <c r="AQ107" s="35">
        <f t="shared" si="60"/>
        <v>0</v>
      </c>
      <c r="AR107" s="64">
        <f ca="1" t="shared" si="61"/>
        <v>0</v>
      </c>
      <c r="AS107" s="35">
        <f ca="1" t="shared" si="62"/>
        <v>0</v>
      </c>
      <c r="AT107" s="65">
        <f>VLOOKUP(B107,经历时间!A:B,2,FALSE)</f>
        <v>908.03</v>
      </c>
      <c r="AU107" s="67">
        <f t="shared" si="63"/>
        <v>0</v>
      </c>
      <c r="AV107" s="35">
        <f ca="1" t="shared" si="64"/>
        <v>13</v>
      </c>
      <c r="AW107" s="24">
        <v>2</v>
      </c>
      <c r="AX107" s="35"/>
      <c r="AY107" s="24">
        <f ca="1">IFERROR(VLOOKUP(B107,'兼职+帮忙'!B:AF,28,FALSE),0)</f>
        <v>0</v>
      </c>
      <c r="AZ107" s="35"/>
    </row>
    <row r="108" ht="15.6" customHeight="1" spans="1:52">
      <c r="A108" s="34">
        <v>289953</v>
      </c>
      <c r="B108" s="70" t="s">
        <v>189</v>
      </c>
      <c r="C108" s="35" t="str">
        <f>VLOOKUP(B108,'姓名+分部'!A:B,2,FALSE)</f>
        <v>一分部</v>
      </c>
      <c r="D108" s="57" t="s">
        <v>40</v>
      </c>
      <c r="E108" s="58" t="str">
        <f ca="1" t="shared" si="34"/>
        <v>无排名</v>
      </c>
      <c r="F108" s="35" t="str">
        <f ca="1" t="shared" si="35"/>
        <v>继续培训</v>
      </c>
      <c r="G108" s="35" t="str">
        <f t="shared" si="33"/>
        <v>A2</v>
      </c>
      <c r="H108" s="59">
        <f t="shared" si="36"/>
        <v>45695</v>
      </c>
      <c r="I108" s="69">
        <v>45575</v>
      </c>
      <c r="J108" s="35" t="str">
        <f t="shared" si="37"/>
        <v>未完成</v>
      </c>
      <c r="K108" s="35"/>
      <c r="L108" s="58" t="str">
        <f t="shared" si="38"/>
        <v>未完成</v>
      </c>
      <c r="M108" s="58" t="str">
        <f t="shared" si="39"/>
        <v>未完成</v>
      </c>
      <c r="N108" s="35"/>
      <c r="O108" s="58" t="str">
        <f t="shared" si="40"/>
        <v>未完成</v>
      </c>
      <c r="P108" s="58" t="str">
        <f t="shared" si="41"/>
        <v>未完成</v>
      </c>
      <c r="Q108" s="35"/>
      <c r="R108" s="35"/>
      <c r="S108" s="35" t="str">
        <f t="shared" si="42"/>
        <v>未完成</v>
      </c>
      <c r="T108" s="35"/>
      <c r="U108" s="35" t="str">
        <f t="shared" si="43"/>
        <v>未完成</v>
      </c>
      <c r="V108" s="35"/>
      <c r="W108" s="35" t="str">
        <f t="shared" si="44"/>
        <v>未完成</v>
      </c>
      <c r="X108" s="61"/>
      <c r="Y108" s="62">
        <f ca="1" t="shared" si="45"/>
        <v>21</v>
      </c>
      <c r="Z108" s="58" t="s">
        <v>75</v>
      </c>
      <c r="AA108" s="35">
        <f t="shared" si="46"/>
        <v>5</v>
      </c>
      <c r="AB108" s="58" t="s">
        <v>75</v>
      </c>
      <c r="AC108" s="35">
        <f t="shared" si="47"/>
        <v>10</v>
      </c>
      <c r="AD108" s="58" t="s">
        <v>75</v>
      </c>
      <c r="AE108" s="35">
        <f t="shared" si="48"/>
        <v>5</v>
      </c>
      <c r="AF108" s="63">
        <f t="shared" si="49"/>
        <v>0</v>
      </c>
      <c r="AG108" s="64">
        <f ca="1" t="shared" si="50"/>
        <v>0</v>
      </c>
      <c r="AH108" s="35">
        <f ca="1" t="shared" si="51"/>
        <v>0</v>
      </c>
      <c r="AI108" s="64">
        <f ca="1" t="shared" si="52"/>
        <v>0</v>
      </c>
      <c r="AJ108" s="35">
        <f ca="1" t="shared" si="53"/>
        <v>0</v>
      </c>
      <c r="AK108" s="35">
        <f t="shared" si="54"/>
        <v>0</v>
      </c>
      <c r="AL108" s="64">
        <f ca="1" t="shared" si="55"/>
        <v>0</v>
      </c>
      <c r="AM108" s="35">
        <f ca="1" t="shared" si="56"/>
        <v>0</v>
      </c>
      <c r="AN108" s="35">
        <f t="shared" si="57"/>
        <v>0</v>
      </c>
      <c r="AO108" s="64">
        <f ca="1" t="shared" si="58"/>
        <v>0</v>
      </c>
      <c r="AP108" s="35">
        <f ca="1" t="shared" si="59"/>
        <v>0</v>
      </c>
      <c r="AQ108" s="35">
        <f t="shared" si="60"/>
        <v>0</v>
      </c>
      <c r="AR108" s="64">
        <f ca="1" t="shared" si="61"/>
        <v>0</v>
      </c>
      <c r="AS108" s="35">
        <f ca="1" t="shared" si="62"/>
        <v>0</v>
      </c>
      <c r="AT108" s="65">
        <f>VLOOKUP(B108,经历时间!A:B,2,FALSE)</f>
        <v>710.34</v>
      </c>
      <c r="AU108" s="67">
        <f t="shared" si="63"/>
        <v>0</v>
      </c>
      <c r="AV108" s="35">
        <f ca="1" t="shared" si="64"/>
        <v>15</v>
      </c>
      <c r="AW108" s="24">
        <v>1</v>
      </c>
      <c r="AX108" s="35"/>
      <c r="AY108" s="24">
        <f ca="1">IFERROR(VLOOKUP(B108,'兼职+帮忙'!B:AF,28,FALSE),0)</f>
        <v>0</v>
      </c>
      <c r="AZ108" s="35"/>
    </row>
    <row r="109" ht="15.6" customHeight="1" spans="1:52">
      <c r="A109" s="15">
        <v>246465</v>
      </c>
      <c r="B109" s="68" t="s">
        <v>190</v>
      </c>
      <c r="C109" s="35" t="str">
        <f>VLOOKUP(B109,'姓名+分部'!A:B,2,FALSE)</f>
        <v>一分部</v>
      </c>
      <c r="D109" s="57" t="s">
        <v>40</v>
      </c>
      <c r="E109" s="58" t="str">
        <f ca="1" t="shared" si="34"/>
        <v>无排名</v>
      </c>
      <c r="F109" s="35" t="str">
        <f ca="1" t="shared" si="35"/>
        <v>继续培训</v>
      </c>
      <c r="G109" s="35" t="str">
        <f t="shared" si="33"/>
        <v>A2</v>
      </c>
      <c r="H109" s="59">
        <f t="shared" si="36"/>
        <v>45401</v>
      </c>
      <c r="I109" s="60">
        <v>45281</v>
      </c>
      <c r="J109" s="35" t="str">
        <f t="shared" si="37"/>
        <v>未完成</v>
      </c>
      <c r="K109" s="61"/>
      <c r="L109" s="58" t="str">
        <f t="shared" si="38"/>
        <v>未完成</v>
      </c>
      <c r="M109" s="58" t="str">
        <f t="shared" si="39"/>
        <v>未完成</v>
      </c>
      <c r="N109" s="61"/>
      <c r="O109" s="58" t="str">
        <f t="shared" si="40"/>
        <v>未完成</v>
      </c>
      <c r="P109" s="58" t="str">
        <f t="shared" si="41"/>
        <v>未完成</v>
      </c>
      <c r="Q109" s="35"/>
      <c r="R109" s="35"/>
      <c r="S109" s="35" t="str">
        <f t="shared" si="42"/>
        <v>未完成</v>
      </c>
      <c r="T109" s="35"/>
      <c r="U109" s="35" t="str">
        <f t="shared" si="43"/>
        <v>未完成</v>
      </c>
      <c r="V109" s="61"/>
      <c r="W109" s="35" t="str">
        <f t="shared" si="44"/>
        <v>未完成</v>
      </c>
      <c r="X109" s="61"/>
      <c r="Y109" s="62">
        <f ca="1" t="shared" si="45"/>
        <v>20</v>
      </c>
      <c r="Z109" s="58" t="s">
        <v>75</v>
      </c>
      <c r="AA109" s="35">
        <f t="shared" si="46"/>
        <v>5</v>
      </c>
      <c r="AB109" s="58" t="s">
        <v>75</v>
      </c>
      <c r="AC109" s="35">
        <f t="shared" si="47"/>
        <v>10</v>
      </c>
      <c r="AD109" s="58" t="s">
        <v>75</v>
      </c>
      <c r="AE109" s="35">
        <f t="shared" si="48"/>
        <v>5</v>
      </c>
      <c r="AF109" s="63">
        <f t="shared" si="49"/>
        <v>0</v>
      </c>
      <c r="AG109" s="64">
        <f ca="1" t="shared" si="50"/>
        <v>0</v>
      </c>
      <c r="AH109" s="35">
        <f ca="1" t="shared" si="51"/>
        <v>0</v>
      </c>
      <c r="AI109" s="64">
        <f ca="1" t="shared" si="52"/>
        <v>0</v>
      </c>
      <c r="AJ109" s="35">
        <f ca="1" t="shared" si="53"/>
        <v>0</v>
      </c>
      <c r="AK109" s="35">
        <f t="shared" si="54"/>
        <v>0</v>
      </c>
      <c r="AL109" s="64">
        <f ca="1" t="shared" si="55"/>
        <v>0</v>
      </c>
      <c r="AM109" s="35">
        <f ca="1" t="shared" si="56"/>
        <v>0</v>
      </c>
      <c r="AN109" s="35">
        <f t="shared" si="57"/>
        <v>0</v>
      </c>
      <c r="AO109" s="64">
        <f ca="1" t="shared" si="58"/>
        <v>0</v>
      </c>
      <c r="AP109" s="35">
        <f ca="1" t="shared" si="59"/>
        <v>0</v>
      </c>
      <c r="AQ109" s="35">
        <f t="shared" si="60"/>
        <v>0</v>
      </c>
      <c r="AR109" s="64">
        <f ca="1" t="shared" si="61"/>
        <v>0</v>
      </c>
      <c r="AS109" s="35">
        <f ca="1" t="shared" si="62"/>
        <v>0</v>
      </c>
      <c r="AT109" s="65">
        <f>VLOOKUP(B109,经历时间!A:B,2,FALSE)</f>
        <v>2464.36</v>
      </c>
      <c r="AU109" s="67">
        <f t="shared" si="63"/>
        <v>0</v>
      </c>
      <c r="AV109" s="35">
        <f ca="1" t="shared" si="64"/>
        <v>24</v>
      </c>
      <c r="AW109" s="24">
        <v>0</v>
      </c>
      <c r="AX109" s="35"/>
      <c r="AY109" s="24">
        <f ca="1">IFERROR(VLOOKUP(B109,'兼职+帮忙'!B:AF,28,FALSE),0)</f>
        <v>0</v>
      </c>
      <c r="AZ109" s="35"/>
    </row>
    <row r="110" ht="15.6" customHeight="1" spans="1:52">
      <c r="A110" s="15">
        <v>265617</v>
      </c>
      <c r="B110" s="68" t="s">
        <v>191</v>
      </c>
      <c r="C110" s="35" t="str">
        <f>VLOOKUP(B110,'姓名+分部'!A:B,2,FALSE)</f>
        <v>三分部</v>
      </c>
      <c r="D110" s="57" t="s">
        <v>40</v>
      </c>
      <c r="E110" s="58" t="str">
        <f ca="1" t="shared" si="34"/>
        <v>无排名</v>
      </c>
      <c r="F110" s="35" t="str">
        <f ca="1" t="shared" si="35"/>
        <v>继续培训</v>
      </c>
      <c r="G110" s="35" t="str">
        <f t="shared" si="33"/>
        <v>A2</v>
      </c>
      <c r="H110" s="59">
        <f t="shared" si="36"/>
        <v>45505</v>
      </c>
      <c r="I110" s="60">
        <v>45385</v>
      </c>
      <c r="J110" s="35" t="str">
        <f t="shared" si="37"/>
        <v>未完成</v>
      </c>
      <c r="K110" s="61"/>
      <c r="L110" s="58" t="str">
        <f t="shared" si="38"/>
        <v>未完成</v>
      </c>
      <c r="M110" s="58" t="str">
        <f t="shared" si="39"/>
        <v>未完成</v>
      </c>
      <c r="N110" s="61"/>
      <c r="O110" s="58" t="str">
        <f t="shared" si="40"/>
        <v>未完成</v>
      </c>
      <c r="P110" s="58" t="str">
        <f t="shared" si="41"/>
        <v>未完成</v>
      </c>
      <c r="Q110" s="35"/>
      <c r="R110" s="35"/>
      <c r="S110" s="35" t="str">
        <f t="shared" si="42"/>
        <v>未完成</v>
      </c>
      <c r="T110" s="35"/>
      <c r="U110" s="35" t="str">
        <f t="shared" si="43"/>
        <v>未完成</v>
      </c>
      <c r="V110" s="61"/>
      <c r="W110" s="35" t="str">
        <f t="shared" si="44"/>
        <v>未完成</v>
      </c>
      <c r="X110" s="61"/>
      <c r="Y110" s="62">
        <f ca="1" t="shared" si="45"/>
        <v>20</v>
      </c>
      <c r="Z110" s="58" t="s">
        <v>75</v>
      </c>
      <c r="AA110" s="35">
        <f t="shared" si="46"/>
        <v>5</v>
      </c>
      <c r="AB110" s="58" t="s">
        <v>75</v>
      </c>
      <c r="AC110" s="35">
        <f t="shared" si="47"/>
        <v>10</v>
      </c>
      <c r="AD110" s="58" t="s">
        <v>75</v>
      </c>
      <c r="AE110" s="35">
        <f t="shared" si="48"/>
        <v>5</v>
      </c>
      <c r="AF110" s="63">
        <f t="shared" si="49"/>
        <v>0</v>
      </c>
      <c r="AG110" s="64">
        <f ca="1" t="shared" si="50"/>
        <v>0</v>
      </c>
      <c r="AH110" s="35">
        <f ca="1" t="shared" si="51"/>
        <v>0</v>
      </c>
      <c r="AI110" s="64">
        <f ca="1" t="shared" si="52"/>
        <v>0</v>
      </c>
      <c r="AJ110" s="35">
        <f ca="1" t="shared" si="53"/>
        <v>0</v>
      </c>
      <c r="AK110" s="35">
        <f t="shared" si="54"/>
        <v>0</v>
      </c>
      <c r="AL110" s="64">
        <f ca="1" t="shared" si="55"/>
        <v>0</v>
      </c>
      <c r="AM110" s="35">
        <f ca="1" t="shared" si="56"/>
        <v>0</v>
      </c>
      <c r="AN110" s="35">
        <f t="shared" si="57"/>
        <v>0</v>
      </c>
      <c r="AO110" s="64">
        <f ca="1" t="shared" si="58"/>
        <v>0</v>
      </c>
      <c r="AP110" s="35">
        <f ca="1" t="shared" si="59"/>
        <v>0</v>
      </c>
      <c r="AQ110" s="35">
        <f t="shared" si="60"/>
        <v>0</v>
      </c>
      <c r="AR110" s="64">
        <f ca="1" t="shared" si="61"/>
        <v>0</v>
      </c>
      <c r="AS110" s="35">
        <f ca="1" t="shared" si="62"/>
        <v>0</v>
      </c>
      <c r="AT110" s="65">
        <f>VLOOKUP(B110,经历时间!A:B,2,FALSE)</f>
        <v>1489.53</v>
      </c>
      <c r="AU110" s="67">
        <f t="shared" si="63"/>
        <v>0</v>
      </c>
      <c r="AV110" s="35">
        <f ca="1" t="shared" si="64"/>
        <v>21</v>
      </c>
      <c r="AW110" s="24">
        <v>0</v>
      </c>
      <c r="AX110" s="35"/>
      <c r="AY110" s="24">
        <f ca="1">IFERROR(VLOOKUP(B110,'兼职+帮忙'!B:AF,28,FALSE),0)</f>
        <v>0</v>
      </c>
      <c r="AZ110" s="35"/>
    </row>
    <row r="111" ht="15.6" customHeight="1" spans="1:52">
      <c r="A111" s="34">
        <v>236145</v>
      </c>
      <c r="B111" s="70" t="s">
        <v>192</v>
      </c>
      <c r="C111" s="35" t="str">
        <f>VLOOKUP(B111,'姓名+分部'!A:B,2,FALSE)</f>
        <v>二分部</v>
      </c>
      <c r="D111" s="57" t="s">
        <v>40</v>
      </c>
      <c r="E111" s="58" t="str">
        <f ca="1" t="shared" si="34"/>
        <v>无排名</v>
      </c>
      <c r="F111" s="35" t="str">
        <f ca="1" t="shared" si="35"/>
        <v>继续培训</v>
      </c>
      <c r="G111" s="35" t="str">
        <f t="shared" si="33"/>
        <v>A2</v>
      </c>
      <c r="H111" s="59">
        <f t="shared" si="36"/>
        <v>45505</v>
      </c>
      <c r="I111" s="60">
        <v>45385</v>
      </c>
      <c r="J111" s="35" t="str">
        <f t="shared" si="37"/>
        <v>未完成</v>
      </c>
      <c r="K111" s="61"/>
      <c r="L111" s="58" t="str">
        <f t="shared" si="38"/>
        <v>未完成</v>
      </c>
      <c r="M111" s="58" t="str">
        <f t="shared" si="39"/>
        <v>未完成</v>
      </c>
      <c r="N111" s="61"/>
      <c r="O111" s="58" t="str">
        <f t="shared" si="40"/>
        <v>未完成</v>
      </c>
      <c r="P111" s="58" t="str">
        <f t="shared" si="41"/>
        <v>未完成</v>
      </c>
      <c r="Q111" s="35"/>
      <c r="R111" s="35"/>
      <c r="S111" s="35" t="str">
        <f t="shared" si="42"/>
        <v>未完成</v>
      </c>
      <c r="T111" s="35"/>
      <c r="U111" s="35" t="str">
        <f t="shared" si="43"/>
        <v>未完成</v>
      </c>
      <c r="V111" s="61"/>
      <c r="W111" s="35" t="str">
        <f t="shared" si="44"/>
        <v>未完成</v>
      </c>
      <c r="X111" s="61"/>
      <c r="Y111" s="62">
        <f ca="1" t="shared" si="45"/>
        <v>20</v>
      </c>
      <c r="Z111" s="58" t="s">
        <v>75</v>
      </c>
      <c r="AA111" s="35">
        <f t="shared" si="46"/>
        <v>5</v>
      </c>
      <c r="AB111" s="58" t="s">
        <v>75</v>
      </c>
      <c r="AC111" s="35">
        <f t="shared" si="47"/>
        <v>10</v>
      </c>
      <c r="AD111" s="58" t="s">
        <v>75</v>
      </c>
      <c r="AE111" s="35">
        <f t="shared" si="48"/>
        <v>5</v>
      </c>
      <c r="AF111" s="63">
        <f t="shared" si="49"/>
        <v>0</v>
      </c>
      <c r="AG111" s="64">
        <f ca="1" t="shared" si="50"/>
        <v>0</v>
      </c>
      <c r="AH111" s="35">
        <f ca="1" t="shared" si="51"/>
        <v>0</v>
      </c>
      <c r="AI111" s="64">
        <f ca="1" t="shared" si="52"/>
        <v>0</v>
      </c>
      <c r="AJ111" s="35">
        <f ca="1" t="shared" si="53"/>
        <v>0</v>
      </c>
      <c r="AK111" s="35">
        <f t="shared" si="54"/>
        <v>0</v>
      </c>
      <c r="AL111" s="64">
        <f ca="1" t="shared" si="55"/>
        <v>0</v>
      </c>
      <c r="AM111" s="35">
        <f ca="1" t="shared" si="56"/>
        <v>0</v>
      </c>
      <c r="AN111" s="35">
        <f t="shared" si="57"/>
        <v>0</v>
      </c>
      <c r="AO111" s="64">
        <f ca="1" t="shared" si="58"/>
        <v>0</v>
      </c>
      <c r="AP111" s="35">
        <f ca="1" t="shared" si="59"/>
        <v>0</v>
      </c>
      <c r="AQ111" s="35">
        <f t="shared" si="60"/>
        <v>0</v>
      </c>
      <c r="AR111" s="64">
        <f ca="1" t="shared" si="61"/>
        <v>0</v>
      </c>
      <c r="AS111" s="35">
        <f ca="1" t="shared" si="62"/>
        <v>0</v>
      </c>
      <c r="AT111" s="65">
        <f>VLOOKUP(B111,经历时间!A:B,2,FALSE)</f>
        <v>2310.49</v>
      </c>
      <c r="AU111" s="67">
        <f t="shared" si="63"/>
        <v>0</v>
      </c>
      <c r="AV111" s="35">
        <f ca="1" t="shared" si="64"/>
        <v>21</v>
      </c>
      <c r="AW111" s="24">
        <v>0</v>
      </c>
      <c r="AX111" s="35"/>
      <c r="AY111" s="24">
        <f ca="1">IFERROR(VLOOKUP(B111,'兼职+帮忙'!B:AF,28,FALSE),0)</f>
        <v>0</v>
      </c>
      <c r="AZ111" s="35"/>
    </row>
    <row r="112" ht="15.6" customHeight="1" spans="1:52">
      <c r="A112" s="34">
        <v>272821</v>
      </c>
      <c r="B112" s="70" t="s">
        <v>193</v>
      </c>
      <c r="C112" s="35" t="str">
        <f>VLOOKUP(B112,'姓名+分部'!A:B,2,FALSE)</f>
        <v>三分部</v>
      </c>
      <c r="D112" s="57" t="s">
        <v>40</v>
      </c>
      <c r="E112" s="58" t="str">
        <f ca="1" t="shared" si="34"/>
        <v>无排名</v>
      </c>
      <c r="F112" s="35" t="str">
        <f ca="1" t="shared" si="35"/>
        <v>继续培训</v>
      </c>
      <c r="G112" s="35" t="str">
        <f t="shared" si="33"/>
        <v>A2</v>
      </c>
      <c r="H112" s="59">
        <f t="shared" si="36"/>
        <v>45265</v>
      </c>
      <c r="I112" s="60">
        <v>45145</v>
      </c>
      <c r="J112" s="35" t="str">
        <f t="shared" si="37"/>
        <v>未完成</v>
      </c>
      <c r="K112" s="61"/>
      <c r="L112" s="58" t="str">
        <f t="shared" si="38"/>
        <v>未完成</v>
      </c>
      <c r="M112" s="58" t="str">
        <f t="shared" si="39"/>
        <v>未完成</v>
      </c>
      <c r="N112" s="61"/>
      <c r="O112" s="58" t="str">
        <f t="shared" si="40"/>
        <v>未完成</v>
      </c>
      <c r="P112" s="58" t="str">
        <f t="shared" si="41"/>
        <v>未完成</v>
      </c>
      <c r="Q112" s="35"/>
      <c r="R112" s="35"/>
      <c r="S112" s="35" t="str">
        <f t="shared" si="42"/>
        <v>未完成</v>
      </c>
      <c r="T112" s="35"/>
      <c r="U112" s="35" t="str">
        <f t="shared" si="43"/>
        <v>未完成</v>
      </c>
      <c r="V112" s="61"/>
      <c r="W112" s="35" t="str">
        <f t="shared" si="44"/>
        <v>未完成</v>
      </c>
      <c r="X112" s="61"/>
      <c r="Y112" s="62">
        <f ca="1" t="shared" si="45"/>
        <v>25</v>
      </c>
      <c r="Z112" s="58" t="s">
        <v>75</v>
      </c>
      <c r="AA112" s="35">
        <f t="shared" si="46"/>
        <v>5</v>
      </c>
      <c r="AB112" s="58" t="s">
        <v>75</v>
      </c>
      <c r="AC112" s="35">
        <f t="shared" si="47"/>
        <v>10</v>
      </c>
      <c r="AD112" s="58" t="s">
        <v>75</v>
      </c>
      <c r="AE112" s="35">
        <f t="shared" si="48"/>
        <v>5</v>
      </c>
      <c r="AF112" s="63">
        <f t="shared" si="49"/>
        <v>0</v>
      </c>
      <c r="AG112" s="64">
        <f ca="1" t="shared" si="50"/>
        <v>0</v>
      </c>
      <c r="AH112" s="35">
        <f ca="1" t="shared" si="51"/>
        <v>0</v>
      </c>
      <c r="AI112" s="64">
        <f ca="1" t="shared" si="52"/>
        <v>0</v>
      </c>
      <c r="AJ112" s="35">
        <f ca="1" t="shared" si="53"/>
        <v>0</v>
      </c>
      <c r="AK112" s="35">
        <f t="shared" si="54"/>
        <v>0</v>
      </c>
      <c r="AL112" s="64">
        <f ca="1" t="shared" si="55"/>
        <v>0</v>
      </c>
      <c r="AM112" s="35">
        <f ca="1" t="shared" si="56"/>
        <v>0</v>
      </c>
      <c r="AN112" s="35">
        <f t="shared" si="57"/>
        <v>0</v>
      </c>
      <c r="AO112" s="64">
        <f ca="1" t="shared" si="58"/>
        <v>0</v>
      </c>
      <c r="AP112" s="35">
        <f ca="1" t="shared" si="59"/>
        <v>0</v>
      </c>
      <c r="AQ112" s="35">
        <f t="shared" si="60"/>
        <v>0</v>
      </c>
      <c r="AR112" s="64">
        <f ca="1" t="shared" si="61"/>
        <v>0</v>
      </c>
      <c r="AS112" s="35">
        <f ca="1" t="shared" si="62"/>
        <v>0</v>
      </c>
      <c r="AT112" s="65">
        <f>VLOOKUP(B112,经历时间!A:B,2,FALSE)</f>
        <v>876.14</v>
      </c>
      <c r="AU112" s="67">
        <f t="shared" si="63"/>
        <v>0</v>
      </c>
      <c r="AV112" s="35">
        <f ca="1" t="shared" si="64"/>
        <v>29</v>
      </c>
      <c r="AW112" s="24">
        <v>0</v>
      </c>
      <c r="AX112" s="35"/>
      <c r="AY112" s="24">
        <f ca="1">IFERROR(VLOOKUP(B112,'兼职+帮忙'!B:AF,28,FALSE),0)</f>
        <v>5</v>
      </c>
      <c r="AZ112" s="35"/>
    </row>
    <row r="113" ht="15.6" customHeight="1" spans="1:52">
      <c r="A113" s="34">
        <v>261777</v>
      </c>
      <c r="B113" s="70" t="s">
        <v>194</v>
      </c>
      <c r="C113" s="35" t="str">
        <f>VLOOKUP(B113,'姓名+分部'!A:B,2,FALSE)</f>
        <v>三分部</v>
      </c>
      <c r="D113" s="57" t="s">
        <v>40</v>
      </c>
      <c r="E113" s="58" t="str">
        <f ca="1" t="shared" si="34"/>
        <v>无排名</v>
      </c>
      <c r="F113" s="35" t="str">
        <f ca="1" t="shared" si="35"/>
        <v>继续培训</v>
      </c>
      <c r="G113" s="35" t="str">
        <f t="shared" si="33"/>
        <v>A2</v>
      </c>
      <c r="H113" s="59">
        <f t="shared" si="36"/>
        <v>45539</v>
      </c>
      <c r="I113" s="60">
        <v>45419</v>
      </c>
      <c r="J113" s="35" t="str">
        <f t="shared" si="37"/>
        <v>未完成</v>
      </c>
      <c r="K113" s="61"/>
      <c r="L113" s="58" t="str">
        <f t="shared" si="38"/>
        <v>未完成</v>
      </c>
      <c r="M113" s="58" t="str">
        <f t="shared" si="39"/>
        <v>未完成</v>
      </c>
      <c r="N113" s="61"/>
      <c r="O113" s="58" t="str">
        <f t="shared" si="40"/>
        <v>未完成</v>
      </c>
      <c r="P113" s="58" t="str">
        <f t="shared" si="41"/>
        <v>未完成</v>
      </c>
      <c r="Q113" s="35"/>
      <c r="R113" s="35"/>
      <c r="S113" s="35" t="str">
        <f t="shared" si="42"/>
        <v>未完成</v>
      </c>
      <c r="T113" s="35"/>
      <c r="U113" s="35" t="str">
        <f t="shared" si="43"/>
        <v>未完成</v>
      </c>
      <c r="V113" s="61"/>
      <c r="W113" s="35" t="str">
        <f t="shared" si="44"/>
        <v>未完成</v>
      </c>
      <c r="X113" s="61"/>
      <c r="Y113" s="62">
        <f ca="1" t="shared" si="45"/>
        <v>20</v>
      </c>
      <c r="Z113" s="58" t="s">
        <v>75</v>
      </c>
      <c r="AA113" s="35">
        <f t="shared" si="46"/>
        <v>5</v>
      </c>
      <c r="AB113" s="58" t="s">
        <v>75</v>
      </c>
      <c r="AC113" s="35">
        <f t="shared" si="47"/>
        <v>10</v>
      </c>
      <c r="AD113" s="58" t="s">
        <v>75</v>
      </c>
      <c r="AE113" s="35">
        <f t="shared" si="48"/>
        <v>5</v>
      </c>
      <c r="AF113" s="63">
        <f t="shared" si="49"/>
        <v>0</v>
      </c>
      <c r="AG113" s="64">
        <f ca="1" t="shared" si="50"/>
        <v>0</v>
      </c>
      <c r="AH113" s="35">
        <f ca="1" t="shared" si="51"/>
        <v>0</v>
      </c>
      <c r="AI113" s="64">
        <f ca="1" t="shared" si="52"/>
        <v>0</v>
      </c>
      <c r="AJ113" s="35">
        <f ca="1" t="shared" si="53"/>
        <v>0</v>
      </c>
      <c r="AK113" s="35">
        <f t="shared" si="54"/>
        <v>0</v>
      </c>
      <c r="AL113" s="64">
        <f ca="1" t="shared" si="55"/>
        <v>0</v>
      </c>
      <c r="AM113" s="35">
        <f ca="1" t="shared" si="56"/>
        <v>0</v>
      </c>
      <c r="AN113" s="35">
        <f t="shared" si="57"/>
        <v>0</v>
      </c>
      <c r="AO113" s="64">
        <f ca="1" t="shared" si="58"/>
        <v>0</v>
      </c>
      <c r="AP113" s="35">
        <f ca="1" t="shared" si="59"/>
        <v>0</v>
      </c>
      <c r="AQ113" s="35">
        <f t="shared" si="60"/>
        <v>0</v>
      </c>
      <c r="AR113" s="64">
        <f ca="1" t="shared" si="61"/>
        <v>0</v>
      </c>
      <c r="AS113" s="35">
        <f ca="1" t="shared" si="62"/>
        <v>0</v>
      </c>
      <c r="AT113" s="65">
        <f>VLOOKUP(B113,经历时间!A:B,2,FALSE)</f>
        <v>1898.52</v>
      </c>
      <c r="AU113" s="67">
        <f t="shared" si="63"/>
        <v>0</v>
      </c>
      <c r="AV113" s="35">
        <f ca="1" t="shared" si="64"/>
        <v>20</v>
      </c>
      <c r="AW113" s="24">
        <v>0</v>
      </c>
      <c r="AX113" s="35"/>
      <c r="AY113" s="24">
        <f ca="1">IFERROR(VLOOKUP(B113,'兼职+帮忙'!B:AF,28,FALSE),0)</f>
        <v>0</v>
      </c>
      <c r="AZ113" s="35"/>
    </row>
    <row r="114" ht="15.6" customHeight="1" spans="1:52">
      <c r="A114" s="34">
        <v>271879</v>
      </c>
      <c r="B114" s="70" t="s">
        <v>195</v>
      </c>
      <c r="C114" s="35" t="str">
        <f>VLOOKUP(B114,'姓名+分部'!A:B,2,FALSE)</f>
        <v>二分部</v>
      </c>
      <c r="D114" s="57" t="s">
        <v>40</v>
      </c>
      <c r="E114" s="58" t="str">
        <f ca="1" t="shared" si="34"/>
        <v>无排名</v>
      </c>
      <c r="F114" s="35" t="str">
        <f ca="1" t="shared" si="35"/>
        <v>继续培训</v>
      </c>
      <c r="G114" s="35" t="str">
        <f t="shared" si="33"/>
        <v>A2</v>
      </c>
      <c r="H114" s="59">
        <f t="shared" si="36"/>
        <v>45576</v>
      </c>
      <c r="I114" s="60">
        <v>45456</v>
      </c>
      <c r="J114" s="35" t="str">
        <f t="shared" si="37"/>
        <v>未完成</v>
      </c>
      <c r="K114" s="35"/>
      <c r="L114" s="58" t="str">
        <f t="shared" si="38"/>
        <v>未完成</v>
      </c>
      <c r="M114" s="58" t="str">
        <f t="shared" si="39"/>
        <v>未完成</v>
      </c>
      <c r="N114" s="35"/>
      <c r="O114" s="58" t="str">
        <f t="shared" si="40"/>
        <v>未完成</v>
      </c>
      <c r="P114" s="58" t="str">
        <f t="shared" si="41"/>
        <v>未完成</v>
      </c>
      <c r="Q114" s="35"/>
      <c r="R114" s="35"/>
      <c r="S114" s="35" t="str">
        <f t="shared" si="42"/>
        <v>未完成</v>
      </c>
      <c r="T114" s="35"/>
      <c r="U114" s="35" t="str">
        <f t="shared" si="43"/>
        <v>未完成</v>
      </c>
      <c r="V114" s="61"/>
      <c r="W114" s="35" t="str">
        <f t="shared" si="44"/>
        <v>未完成</v>
      </c>
      <c r="X114" s="61"/>
      <c r="Y114" s="62">
        <f ca="1" t="shared" si="45"/>
        <v>20</v>
      </c>
      <c r="Z114" s="58" t="s">
        <v>75</v>
      </c>
      <c r="AA114" s="35">
        <f t="shared" si="46"/>
        <v>5</v>
      </c>
      <c r="AB114" s="58" t="s">
        <v>75</v>
      </c>
      <c r="AC114" s="35">
        <f t="shared" si="47"/>
        <v>10</v>
      </c>
      <c r="AD114" s="58" t="s">
        <v>75</v>
      </c>
      <c r="AE114" s="35">
        <f t="shared" si="48"/>
        <v>5</v>
      </c>
      <c r="AF114" s="63">
        <f t="shared" si="49"/>
        <v>0</v>
      </c>
      <c r="AG114" s="64">
        <f ca="1" t="shared" si="50"/>
        <v>0</v>
      </c>
      <c r="AH114" s="35">
        <f ca="1" t="shared" si="51"/>
        <v>0</v>
      </c>
      <c r="AI114" s="64">
        <f ca="1" t="shared" si="52"/>
        <v>0</v>
      </c>
      <c r="AJ114" s="35">
        <f ca="1" t="shared" si="53"/>
        <v>0</v>
      </c>
      <c r="AK114" s="35">
        <f t="shared" si="54"/>
        <v>0</v>
      </c>
      <c r="AL114" s="64">
        <f ca="1" t="shared" si="55"/>
        <v>0</v>
      </c>
      <c r="AM114" s="35">
        <f ca="1" t="shared" si="56"/>
        <v>0</v>
      </c>
      <c r="AN114" s="35">
        <f t="shared" si="57"/>
        <v>0</v>
      </c>
      <c r="AO114" s="64">
        <f ca="1" t="shared" si="58"/>
        <v>0</v>
      </c>
      <c r="AP114" s="35">
        <f ca="1" t="shared" si="59"/>
        <v>0</v>
      </c>
      <c r="AQ114" s="35">
        <f t="shared" si="60"/>
        <v>0</v>
      </c>
      <c r="AR114" s="64">
        <f ca="1" t="shared" si="61"/>
        <v>0</v>
      </c>
      <c r="AS114" s="35">
        <f ca="1" t="shared" si="62"/>
        <v>0</v>
      </c>
      <c r="AT114" s="65">
        <f>VLOOKUP(B114,经历时间!A:B,2,FALSE)</f>
        <v>1322.39</v>
      </c>
      <c r="AU114" s="67">
        <f t="shared" si="63"/>
        <v>0</v>
      </c>
      <c r="AV114" s="35">
        <f ca="1" t="shared" si="64"/>
        <v>19</v>
      </c>
      <c r="AW114" s="24">
        <v>0</v>
      </c>
      <c r="AX114" s="35"/>
      <c r="AY114" s="24">
        <f ca="1">IFERROR(VLOOKUP(B114,'兼职+帮忙'!B:AF,28,FALSE),0)</f>
        <v>0</v>
      </c>
      <c r="AZ114" s="35"/>
    </row>
    <row r="115" ht="15.6" customHeight="1" spans="1:52">
      <c r="A115" s="34">
        <v>217602</v>
      </c>
      <c r="B115" s="70" t="s">
        <v>196</v>
      </c>
      <c r="C115" s="35" t="str">
        <f>VLOOKUP(B115,'姓名+分部'!A:B,2,FALSE)</f>
        <v>二分部</v>
      </c>
      <c r="D115" s="57" t="s">
        <v>40</v>
      </c>
      <c r="E115" s="58" t="str">
        <f ca="1" t="shared" si="34"/>
        <v>无排名</v>
      </c>
      <c r="F115" s="35" t="str">
        <f ca="1" t="shared" si="35"/>
        <v>继续培训</v>
      </c>
      <c r="G115" s="35" t="str">
        <f t="shared" si="33"/>
        <v>A2</v>
      </c>
      <c r="H115" s="59">
        <f t="shared" si="36"/>
        <v>45695</v>
      </c>
      <c r="I115" s="60">
        <v>45575</v>
      </c>
      <c r="J115" s="35" t="str">
        <f t="shared" si="37"/>
        <v>未完成</v>
      </c>
      <c r="K115" s="35"/>
      <c r="L115" s="58" t="str">
        <f t="shared" si="38"/>
        <v>未完成</v>
      </c>
      <c r="M115" s="58" t="str">
        <f t="shared" si="39"/>
        <v>未完成</v>
      </c>
      <c r="N115" s="35"/>
      <c r="O115" s="58" t="str">
        <f t="shared" si="40"/>
        <v>未完成</v>
      </c>
      <c r="P115" s="58" t="str">
        <f t="shared" si="41"/>
        <v>未完成</v>
      </c>
      <c r="Q115" s="35"/>
      <c r="R115" s="35"/>
      <c r="S115" s="35" t="str">
        <f t="shared" si="42"/>
        <v>未完成</v>
      </c>
      <c r="T115" s="35"/>
      <c r="U115" s="35" t="str">
        <f t="shared" si="43"/>
        <v>未完成</v>
      </c>
      <c r="V115" s="61"/>
      <c r="W115" s="35" t="str">
        <f t="shared" si="44"/>
        <v>未完成</v>
      </c>
      <c r="X115" s="61"/>
      <c r="Y115" s="62">
        <f ca="1" t="shared" si="45"/>
        <v>20</v>
      </c>
      <c r="Z115" s="58" t="s">
        <v>75</v>
      </c>
      <c r="AA115" s="35">
        <f t="shared" si="46"/>
        <v>5</v>
      </c>
      <c r="AB115" s="58" t="s">
        <v>75</v>
      </c>
      <c r="AC115" s="35">
        <f t="shared" si="47"/>
        <v>10</v>
      </c>
      <c r="AD115" s="58" t="s">
        <v>75</v>
      </c>
      <c r="AE115" s="35">
        <f t="shared" si="48"/>
        <v>5</v>
      </c>
      <c r="AF115" s="63">
        <f t="shared" si="49"/>
        <v>0</v>
      </c>
      <c r="AG115" s="64">
        <f ca="1" t="shared" si="50"/>
        <v>0</v>
      </c>
      <c r="AH115" s="35">
        <f ca="1" t="shared" si="51"/>
        <v>0</v>
      </c>
      <c r="AI115" s="64">
        <f ca="1" t="shared" si="52"/>
        <v>0</v>
      </c>
      <c r="AJ115" s="35">
        <f ca="1" t="shared" si="53"/>
        <v>0</v>
      </c>
      <c r="AK115" s="35">
        <f t="shared" si="54"/>
        <v>0</v>
      </c>
      <c r="AL115" s="64">
        <f ca="1" t="shared" si="55"/>
        <v>0</v>
      </c>
      <c r="AM115" s="35">
        <f ca="1" t="shared" si="56"/>
        <v>0</v>
      </c>
      <c r="AN115" s="35">
        <f t="shared" si="57"/>
        <v>0</v>
      </c>
      <c r="AO115" s="64">
        <f ca="1" t="shared" si="58"/>
        <v>0</v>
      </c>
      <c r="AP115" s="35">
        <f ca="1" t="shared" si="59"/>
        <v>0</v>
      </c>
      <c r="AQ115" s="35">
        <f t="shared" si="60"/>
        <v>0</v>
      </c>
      <c r="AR115" s="64">
        <f ca="1" t="shared" si="61"/>
        <v>0</v>
      </c>
      <c r="AS115" s="35">
        <f ca="1" t="shared" si="62"/>
        <v>0</v>
      </c>
      <c r="AT115" s="65">
        <f>VLOOKUP(B115,经历时间!A:B,2,FALSE)</f>
        <v>3139.21</v>
      </c>
      <c r="AU115" s="67">
        <f t="shared" si="63"/>
        <v>0</v>
      </c>
      <c r="AV115" s="35">
        <f ca="1" t="shared" si="64"/>
        <v>15</v>
      </c>
      <c r="AW115" s="24">
        <v>0</v>
      </c>
      <c r="AX115" s="35"/>
      <c r="AY115" s="24">
        <f ca="1">IFERROR(VLOOKUP(B115,'兼职+帮忙'!B:AF,28,FALSE),0)</f>
        <v>0</v>
      </c>
      <c r="AZ115" s="35"/>
    </row>
    <row r="116" ht="15.6" customHeight="1" spans="1:52">
      <c r="A116" s="34">
        <v>285783</v>
      </c>
      <c r="B116" s="70" t="s">
        <v>197</v>
      </c>
      <c r="C116" s="35" t="str">
        <f>VLOOKUP(B116,'姓名+分部'!A:B,2,FALSE)</f>
        <v>三分部</v>
      </c>
      <c r="D116" s="57" t="s">
        <v>40</v>
      </c>
      <c r="E116" s="58" t="str">
        <f ca="1" t="shared" si="34"/>
        <v>无排名</v>
      </c>
      <c r="F116" s="35" t="str">
        <f ca="1" t="shared" si="35"/>
        <v>继续培训</v>
      </c>
      <c r="G116" s="35" t="str">
        <f t="shared" si="33"/>
        <v>A2</v>
      </c>
      <c r="H116" s="59">
        <f t="shared" si="36"/>
        <v>45624</v>
      </c>
      <c r="I116" s="60">
        <v>45504</v>
      </c>
      <c r="J116" s="35" t="str">
        <f t="shared" si="37"/>
        <v>未完成</v>
      </c>
      <c r="K116" s="35"/>
      <c r="L116" s="58" t="str">
        <f t="shared" si="38"/>
        <v>未完成</v>
      </c>
      <c r="M116" s="58" t="str">
        <f t="shared" si="39"/>
        <v>未完成</v>
      </c>
      <c r="N116" s="35"/>
      <c r="O116" s="58" t="str">
        <f t="shared" si="40"/>
        <v>未完成</v>
      </c>
      <c r="P116" s="58" t="str">
        <f t="shared" si="41"/>
        <v>未完成</v>
      </c>
      <c r="Q116" s="35"/>
      <c r="R116" s="35"/>
      <c r="S116" s="35">
        <f t="shared" si="42"/>
        <v>12</v>
      </c>
      <c r="T116" s="59">
        <v>45874</v>
      </c>
      <c r="U116" s="35" t="str">
        <f t="shared" si="43"/>
        <v>未完成</v>
      </c>
      <c r="V116" s="61"/>
      <c r="W116" s="35" t="str">
        <f t="shared" si="44"/>
        <v>未完成</v>
      </c>
      <c r="X116" s="61"/>
      <c r="Y116" s="62">
        <f ca="1" t="shared" si="45"/>
        <v>50</v>
      </c>
      <c r="Z116" s="58" t="s">
        <v>75</v>
      </c>
      <c r="AA116" s="35">
        <f t="shared" si="46"/>
        <v>5</v>
      </c>
      <c r="AB116" s="58" t="s">
        <v>75</v>
      </c>
      <c r="AC116" s="35">
        <f t="shared" si="47"/>
        <v>10</v>
      </c>
      <c r="AD116" s="58" t="s">
        <v>75</v>
      </c>
      <c r="AE116" s="35">
        <f t="shared" si="48"/>
        <v>5</v>
      </c>
      <c r="AF116" s="63">
        <f t="shared" si="49"/>
        <v>0</v>
      </c>
      <c r="AG116" s="64">
        <f ca="1" t="shared" si="50"/>
        <v>0</v>
      </c>
      <c r="AH116" s="35">
        <f ca="1" t="shared" si="51"/>
        <v>0</v>
      </c>
      <c r="AI116" s="64">
        <f ca="1" t="shared" si="52"/>
        <v>0</v>
      </c>
      <c r="AJ116" s="35">
        <f ca="1" t="shared" si="53"/>
        <v>0</v>
      </c>
      <c r="AK116" s="35">
        <f t="shared" si="54"/>
        <v>10</v>
      </c>
      <c r="AL116" s="64">
        <f ca="1" t="shared" si="55"/>
        <v>5</v>
      </c>
      <c r="AM116" s="35">
        <f ca="1" t="shared" si="56"/>
        <v>30</v>
      </c>
      <c r="AN116" s="35">
        <f t="shared" si="57"/>
        <v>0</v>
      </c>
      <c r="AO116" s="64">
        <f ca="1" t="shared" si="58"/>
        <v>0</v>
      </c>
      <c r="AP116" s="35">
        <f ca="1" t="shared" si="59"/>
        <v>0</v>
      </c>
      <c r="AQ116" s="35">
        <f t="shared" si="60"/>
        <v>0</v>
      </c>
      <c r="AR116" s="64">
        <f ca="1" t="shared" si="61"/>
        <v>0</v>
      </c>
      <c r="AS116" s="35">
        <f ca="1" t="shared" si="62"/>
        <v>0</v>
      </c>
      <c r="AT116" s="65">
        <f>VLOOKUP(B116,经历时间!A:B,2,FALSE)</f>
        <v>1096.51</v>
      </c>
      <c r="AU116" s="67">
        <f t="shared" si="63"/>
        <v>0</v>
      </c>
      <c r="AV116" s="35">
        <f ca="1" t="shared" si="64"/>
        <v>17</v>
      </c>
      <c r="AW116" s="24">
        <v>0</v>
      </c>
      <c r="AX116" s="35"/>
      <c r="AY116" s="24">
        <f ca="1">IFERROR(VLOOKUP(B116,'兼职+帮忙'!B:AF,28,FALSE),0)</f>
        <v>0</v>
      </c>
      <c r="AZ116" s="35"/>
    </row>
    <row r="117" ht="15.6" customHeight="1" spans="1:52">
      <c r="A117" s="75">
        <v>282654</v>
      </c>
      <c r="B117" s="75" t="s">
        <v>198</v>
      </c>
      <c r="C117" s="35" t="str">
        <f>VLOOKUP(B117,'姓名+分部'!A:B,2,FALSE)</f>
        <v>三分部</v>
      </c>
      <c r="D117" s="35" t="s">
        <v>42</v>
      </c>
      <c r="E117" s="58" t="str">
        <f ca="1" t="shared" si="34"/>
        <v>无排名</v>
      </c>
      <c r="F117" s="35" t="str">
        <f ca="1" t="shared" si="35"/>
        <v>继续培训</v>
      </c>
      <c r="G117" s="35" t="str">
        <f t="shared" ref="G117:G149" si="65">IF(N117&gt;0,"不考核",IF(K117&gt;0,"B",IF(I117&gt;0,"A2",IF(I117=0,"学员",NA()))))</f>
        <v>B</v>
      </c>
      <c r="H117" s="59">
        <f t="shared" si="36"/>
        <v>45991</v>
      </c>
      <c r="I117" s="60">
        <v>45444</v>
      </c>
      <c r="J117" s="35">
        <f t="shared" si="37"/>
        <v>5</v>
      </c>
      <c r="K117" s="59">
        <v>45601</v>
      </c>
      <c r="L117" s="58" t="str">
        <f t="shared" si="38"/>
        <v>未完成</v>
      </c>
      <c r="M117" s="58" t="str">
        <f t="shared" si="39"/>
        <v>未完成</v>
      </c>
      <c r="N117" s="35"/>
      <c r="O117" s="58" t="str">
        <f t="shared" si="40"/>
        <v>未完成</v>
      </c>
      <c r="P117" s="58" t="str">
        <f t="shared" si="41"/>
        <v>未完成</v>
      </c>
      <c r="Q117" s="35"/>
      <c r="R117" s="35"/>
      <c r="S117" s="35" t="str">
        <f t="shared" si="42"/>
        <v>未完成</v>
      </c>
      <c r="T117" s="35"/>
      <c r="U117" s="35" t="str">
        <f t="shared" si="43"/>
        <v>未完成</v>
      </c>
      <c r="V117" s="61"/>
      <c r="W117" s="35" t="str">
        <f t="shared" si="44"/>
        <v>未完成</v>
      </c>
      <c r="X117" s="61"/>
      <c r="Y117" s="62">
        <f ca="1" t="shared" si="45"/>
        <v>20</v>
      </c>
      <c r="Z117" s="58" t="s">
        <v>75</v>
      </c>
      <c r="AA117" s="35">
        <f t="shared" si="46"/>
        <v>5</v>
      </c>
      <c r="AB117" s="58" t="s">
        <v>75</v>
      </c>
      <c r="AC117" s="35">
        <f t="shared" si="47"/>
        <v>10</v>
      </c>
      <c r="AD117" s="58" t="s">
        <v>75</v>
      </c>
      <c r="AE117" s="35">
        <f t="shared" si="48"/>
        <v>5</v>
      </c>
      <c r="AF117" s="63">
        <f t="shared" si="49"/>
        <v>10</v>
      </c>
      <c r="AG117" s="64">
        <f ca="1" t="shared" si="50"/>
        <v>0</v>
      </c>
      <c r="AH117" s="35">
        <f ca="1" t="shared" si="51"/>
        <v>0</v>
      </c>
      <c r="AI117" s="64">
        <f ca="1" t="shared" si="52"/>
        <v>0</v>
      </c>
      <c r="AJ117" s="35">
        <f ca="1" t="shared" si="53"/>
        <v>0</v>
      </c>
      <c r="AK117" s="35">
        <f t="shared" si="54"/>
        <v>0</v>
      </c>
      <c r="AL117" s="64">
        <f ca="1" t="shared" si="55"/>
        <v>0</v>
      </c>
      <c r="AM117" s="35">
        <f ca="1" t="shared" si="56"/>
        <v>0</v>
      </c>
      <c r="AN117" s="35">
        <f t="shared" si="57"/>
        <v>0</v>
      </c>
      <c r="AO117" s="64">
        <f ca="1" t="shared" si="58"/>
        <v>0</v>
      </c>
      <c r="AP117" s="35">
        <f ca="1" t="shared" si="59"/>
        <v>0</v>
      </c>
      <c r="AQ117" s="35">
        <f t="shared" si="60"/>
        <v>0</v>
      </c>
      <c r="AR117" s="64">
        <f ca="1" t="shared" si="61"/>
        <v>0</v>
      </c>
      <c r="AS117" s="35">
        <f ca="1" t="shared" si="62"/>
        <v>0</v>
      </c>
      <c r="AT117" s="65">
        <f>VLOOKUP(B117,经历时间!A:B,2,FALSE)</f>
        <v>790.49</v>
      </c>
      <c r="AU117" s="67">
        <f t="shared" si="63"/>
        <v>0</v>
      </c>
      <c r="AV117" s="35">
        <f ca="1" t="shared" si="64"/>
        <v>19</v>
      </c>
      <c r="AW117" s="24">
        <v>0</v>
      </c>
      <c r="AX117" s="35"/>
      <c r="AY117" s="24">
        <f ca="1">IFERROR(VLOOKUP(B117,'兼职+帮忙'!B:AF,28,FALSE),0)</f>
        <v>0</v>
      </c>
      <c r="AZ117" s="35"/>
    </row>
    <row r="118" ht="15.6" customHeight="1" spans="1:52">
      <c r="A118" s="75">
        <v>275104</v>
      </c>
      <c r="B118" s="75" t="s">
        <v>199</v>
      </c>
      <c r="C118" s="35" t="str">
        <f>VLOOKUP(B118,'姓名+分部'!A:B,2,FALSE)</f>
        <v>一分部</v>
      </c>
      <c r="D118" s="35" t="s">
        <v>40</v>
      </c>
      <c r="E118" s="58" t="str">
        <f ca="1" t="shared" si="34"/>
        <v>无排名</v>
      </c>
      <c r="F118" s="35" t="str">
        <f ca="1" t="shared" si="35"/>
        <v>继续培训</v>
      </c>
      <c r="G118" s="35" t="str">
        <f t="shared" si="65"/>
        <v>A2</v>
      </c>
      <c r="H118" s="59">
        <f t="shared" si="36"/>
        <v>45869</v>
      </c>
      <c r="I118" s="60">
        <v>45749</v>
      </c>
      <c r="J118" s="35" t="str">
        <f t="shared" si="37"/>
        <v>未完成</v>
      </c>
      <c r="K118" s="35"/>
      <c r="L118" s="58" t="str">
        <f t="shared" si="38"/>
        <v>未完成</v>
      </c>
      <c r="M118" s="58" t="str">
        <f t="shared" si="39"/>
        <v>未完成</v>
      </c>
      <c r="N118" s="35"/>
      <c r="O118" s="58" t="str">
        <f t="shared" si="40"/>
        <v>未完成</v>
      </c>
      <c r="P118" s="58" t="str">
        <f t="shared" si="41"/>
        <v>未完成</v>
      </c>
      <c r="Q118" s="35"/>
      <c r="R118" s="35"/>
      <c r="S118" s="35" t="str">
        <f t="shared" si="42"/>
        <v>未完成</v>
      </c>
      <c r="T118" s="35"/>
      <c r="U118" s="35" t="str">
        <f t="shared" si="43"/>
        <v>未完成</v>
      </c>
      <c r="V118" s="61"/>
      <c r="W118" s="35" t="str">
        <f t="shared" si="44"/>
        <v>未完成</v>
      </c>
      <c r="X118" s="61"/>
      <c r="Y118" s="62">
        <f ca="1" t="shared" si="45"/>
        <v>20</v>
      </c>
      <c r="Z118" s="58" t="s">
        <v>75</v>
      </c>
      <c r="AA118" s="35">
        <f t="shared" si="46"/>
        <v>5</v>
      </c>
      <c r="AB118" s="58" t="s">
        <v>75</v>
      </c>
      <c r="AC118" s="35">
        <f t="shared" si="47"/>
        <v>10</v>
      </c>
      <c r="AD118" s="58" t="s">
        <v>75</v>
      </c>
      <c r="AE118" s="35">
        <f t="shared" si="48"/>
        <v>5</v>
      </c>
      <c r="AF118" s="63">
        <f t="shared" si="49"/>
        <v>0</v>
      </c>
      <c r="AG118" s="64">
        <f ca="1" t="shared" si="50"/>
        <v>0</v>
      </c>
      <c r="AH118" s="35">
        <f ca="1" t="shared" si="51"/>
        <v>0</v>
      </c>
      <c r="AI118" s="64">
        <f ca="1" t="shared" si="52"/>
        <v>0</v>
      </c>
      <c r="AJ118" s="35">
        <f ca="1" t="shared" si="53"/>
        <v>0</v>
      </c>
      <c r="AK118" s="35">
        <f t="shared" si="54"/>
        <v>0</v>
      </c>
      <c r="AL118" s="64">
        <f ca="1" t="shared" si="55"/>
        <v>0</v>
      </c>
      <c r="AM118" s="35">
        <f ca="1" t="shared" si="56"/>
        <v>0</v>
      </c>
      <c r="AN118" s="35">
        <f t="shared" si="57"/>
        <v>0</v>
      </c>
      <c r="AO118" s="64">
        <f ca="1" t="shared" si="58"/>
        <v>0</v>
      </c>
      <c r="AP118" s="35">
        <f ca="1" t="shared" si="59"/>
        <v>0</v>
      </c>
      <c r="AQ118" s="35">
        <f t="shared" si="60"/>
        <v>0</v>
      </c>
      <c r="AR118" s="64">
        <f ca="1" t="shared" si="61"/>
        <v>0</v>
      </c>
      <c r="AS118" s="35">
        <f ca="1" t="shared" si="62"/>
        <v>0</v>
      </c>
      <c r="AT118" s="65">
        <f>VLOOKUP(B118,经历时间!A:B,2,FALSE)</f>
        <v>507.25</v>
      </c>
      <c r="AU118" s="67">
        <f t="shared" si="63"/>
        <v>0</v>
      </c>
      <c r="AV118" s="35">
        <f ca="1" t="shared" si="64"/>
        <v>9</v>
      </c>
      <c r="AW118" s="24">
        <v>0</v>
      </c>
      <c r="AX118" s="35"/>
      <c r="AY118" s="24">
        <f ca="1">IFERROR(VLOOKUP(B118,'兼职+帮忙'!B:AF,28,FALSE),0)</f>
        <v>0</v>
      </c>
      <c r="AZ118" s="35"/>
    </row>
    <row r="119" ht="15.6" customHeight="1" spans="1:52">
      <c r="A119" s="75">
        <v>288902</v>
      </c>
      <c r="B119" s="75" t="s">
        <v>200</v>
      </c>
      <c r="C119" s="35" t="str">
        <f>VLOOKUP(B119,'姓名+分部'!A:B,2,FALSE)</f>
        <v>一分部</v>
      </c>
      <c r="D119" s="35" t="s">
        <v>40</v>
      </c>
      <c r="E119" s="58" t="str">
        <f ca="1" t="shared" si="34"/>
        <v>无排名</v>
      </c>
      <c r="F119" s="35" t="str">
        <f ca="1" t="shared" si="35"/>
        <v>继续培训</v>
      </c>
      <c r="G119" s="35" t="str">
        <f t="shared" si="65"/>
        <v>A2</v>
      </c>
      <c r="H119" s="59">
        <f t="shared" si="36"/>
        <v>45699</v>
      </c>
      <c r="I119" s="60">
        <v>45579</v>
      </c>
      <c r="J119" s="35" t="str">
        <f t="shared" si="37"/>
        <v>未完成</v>
      </c>
      <c r="K119" s="35"/>
      <c r="L119" s="58" t="str">
        <f t="shared" si="38"/>
        <v>未完成</v>
      </c>
      <c r="M119" s="58" t="str">
        <f t="shared" si="39"/>
        <v>未完成</v>
      </c>
      <c r="N119" s="35"/>
      <c r="O119" s="58" t="str">
        <f t="shared" si="40"/>
        <v>未完成</v>
      </c>
      <c r="P119" s="58" t="str">
        <f t="shared" si="41"/>
        <v>未完成</v>
      </c>
      <c r="Q119" s="35"/>
      <c r="R119" s="35"/>
      <c r="S119" s="35" t="str">
        <f t="shared" si="42"/>
        <v>未完成</v>
      </c>
      <c r="T119" s="35"/>
      <c r="U119" s="35" t="str">
        <f t="shared" si="43"/>
        <v>未完成</v>
      </c>
      <c r="V119" s="61"/>
      <c r="W119" s="35" t="str">
        <f t="shared" si="44"/>
        <v>未完成</v>
      </c>
      <c r="X119" s="61"/>
      <c r="Y119" s="62">
        <f ca="1" t="shared" si="45"/>
        <v>20</v>
      </c>
      <c r="Z119" s="58" t="s">
        <v>75</v>
      </c>
      <c r="AA119" s="35">
        <f t="shared" si="46"/>
        <v>5</v>
      </c>
      <c r="AB119" s="58" t="s">
        <v>75</v>
      </c>
      <c r="AC119" s="35">
        <f t="shared" si="47"/>
        <v>10</v>
      </c>
      <c r="AD119" s="58" t="s">
        <v>75</v>
      </c>
      <c r="AE119" s="35">
        <f t="shared" si="48"/>
        <v>5</v>
      </c>
      <c r="AF119" s="63">
        <f t="shared" si="49"/>
        <v>0</v>
      </c>
      <c r="AG119" s="64">
        <f ca="1" t="shared" si="50"/>
        <v>0</v>
      </c>
      <c r="AH119" s="35">
        <f ca="1" t="shared" si="51"/>
        <v>0</v>
      </c>
      <c r="AI119" s="64">
        <f ca="1" t="shared" si="52"/>
        <v>0</v>
      </c>
      <c r="AJ119" s="35">
        <f ca="1" t="shared" si="53"/>
        <v>0</v>
      </c>
      <c r="AK119" s="35">
        <f t="shared" si="54"/>
        <v>0</v>
      </c>
      <c r="AL119" s="64">
        <f ca="1" t="shared" si="55"/>
        <v>0</v>
      </c>
      <c r="AM119" s="35">
        <f ca="1" t="shared" si="56"/>
        <v>0</v>
      </c>
      <c r="AN119" s="35">
        <f t="shared" si="57"/>
        <v>0</v>
      </c>
      <c r="AO119" s="64">
        <f ca="1" t="shared" si="58"/>
        <v>0</v>
      </c>
      <c r="AP119" s="35">
        <f ca="1" t="shared" si="59"/>
        <v>0</v>
      </c>
      <c r="AQ119" s="35">
        <f t="shared" si="60"/>
        <v>0</v>
      </c>
      <c r="AR119" s="64">
        <f ca="1" t="shared" si="61"/>
        <v>0</v>
      </c>
      <c r="AS119" s="35">
        <f ca="1" t="shared" si="62"/>
        <v>0</v>
      </c>
      <c r="AT119" s="65">
        <f>VLOOKUP(B119,经历时间!A:B,2,FALSE)</f>
        <v>446.4</v>
      </c>
      <c r="AU119" s="67">
        <f t="shared" si="63"/>
        <v>0</v>
      </c>
      <c r="AV119" s="35">
        <f ca="1" t="shared" si="64"/>
        <v>15</v>
      </c>
      <c r="AW119" s="24">
        <v>0</v>
      </c>
      <c r="AX119" s="35"/>
      <c r="AY119" s="24">
        <f ca="1">IFERROR(VLOOKUP(B119,'兼职+帮忙'!B:AF,28,FALSE),0)</f>
        <v>0</v>
      </c>
      <c r="AZ119" s="35"/>
    </row>
    <row r="120" ht="15.6" customHeight="1" spans="1:52">
      <c r="A120" s="75">
        <v>289669</v>
      </c>
      <c r="B120" s="75" t="s">
        <v>201</v>
      </c>
      <c r="C120" s="35" t="str">
        <f>VLOOKUP(B120,'姓名+分部'!A:B,2,FALSE)</f>
        <v>三分部</v>
      </c>
      <c r="D120" s="35" t="s">
        <v>40</v>
      </c>
      <c r="E120" s="58" t="str">
        <f ca="1" t="shared" si="34"/>
        <v>无排名</v>
      </c>
      <c r="F120" s="35" t="str">
        <f ca="1" t="shared" si="35"/>
        <v>继续培训</v>
      </c>
      <c r="G120" s="35" t="str">
        <f t="shared" si="65"/>
        <v>A2</v>
      </c>
      <c r="H120" s="59">
        <f t="shared" si="36"/>
        <v>45909</v>
      </c>
      <c r="I120" s="60">
        <v>45789</v>
      </c>
      <c r="J120" s="35" t="str">
        <f t="shared" si="37"/>
        <v>未完成</v>
      </c>
      <c r="K120" s="35"/>
      <c r="L120" s="58" t="str">
        <f t="shared" si="38"/>
        <v>未完成</v>
      </c>
      <c r="M120" s="58" t="str">
        <f t="shared" si="39"/>
        <v>未完成</v>
      </c>
      <c r="N120" s="35"/>
      <c r="O120" s="58" t="str">
        <f t="shared" si="40"/>
        <v>未完成</v>
      </c>
      <c r="P120" s="58" t="str">
        <f t="shared" si="41"/>
        <v>未完成</v>
      </c>
      <c r="Q120" s="35"/>
      <c r="R120" s="35"/>
      <c r="S120" s="35" t="str">
        <f t="shared" si="42"/>
        <v>未完成</v>
      </c>
      <c r="T120" s="35"/>
      <c r="U120" s="35" t="str">
        <f t="shared" si="43"/>
        <v>未完成</v>
      </c>
      <c r="V120" s="61"/>
      <c r="W120" s="35" t="str">
        <f t="shared" si="44"/>
        <v>未完成</v>
      </c>
      <c r="X120" s="61"/>
      <c r="Y120" s="62">
        <f ca="1" t="shared" si="45"/>
        <v>20</v>
      </c>
      <c r="Z120" s="58" t="s">
        <v>75</v>
      </c>
      <c r="AA120" s="35">
        <f t="shared" si="46"/>
        <v>5</v>
      </c>
      <c r="AB120" s="58" t="s">
        <v>75</v>
      </c>
      <c r="AC120" s="35">
        <f t="shared" si="47"/>
        <v>10</v>
      </c>
      <c r="AD120" s="58" t="s">
        <v>75</v>
      </c>
      <c r="AE120" s="35">
        <f t="shared" si="48"/>
        <v>5</v>
      </c>
      <c r="AF120" s="63">
        <f t="shared" si="49"/>
        <v>0</v>
      </c>
      <c r="AG120" s="64">
        <f ca="1" t="shared" si="50"/>
        <v>0</v>
      </c>
      <c r="AH120" s="35">
        <f ca="1" t="shared" si="51"/>
        <v>0</v>
      </c>
      <c r="AI120" s="64">
        <f ca="1" t="shared" si="52"/>
        <v>0</v>
      </c>
      <c r="AJ120" s="35">
        <f ca="1" t="shared" si="53"/>
        <v>0</v>
      </c>
      <c r="AK120" s="35">
        <f t="shared" si="54"/>
        <v>0</v>
      </c>
      <c r="AL120" s="64">
        <f ca="1" t="shared" si="55"/>
        <v>0</v>
      </c>
      <c r="AM120" s="35">
        <f ca="1" t="shared" si="56"/>
        <v>0</v>
      </c>
      <c r="AN120" s="35">
        <f t="shared" si="57"/>
        <v>0</v>
      </c>
      <c r="AO120" s="64">
        <f ca="1" t="shared" si="58"/>
        <v>0</v>
      </c>
      <c r="AP120" s="35">
        <f ca="1" t="shared" si="59"/>
        <v>0</v>
      </c>
      <c r="AQ120" s="35">
        <f t="shared" si="60"/>
        <v>0</v>
      </c>
      <c r="AR120" s="64">
        <f ca="1" t="shared" si="61"/>
        <v>0</v>
      </c>
      <c r="AS120" s="35">
        <f ca="1" t="shared" si="62"/>
        <v>0</v>
      </c>
      <c r="AT120" s="65">
        <f>VLOOKUP(B120,经历时间!A:B,2,FALSE)</f>
        <v>416.4</v>
      </c>
      <c r="AU120" s="67">
        <f t="shared" si="63"/>
        <v>0</v>
      </c>
      <c r="AV120" s="35">
        <f ca="1" t="shared" si="64"/>
        <v>8</v>
      </c>
      <c r="AW120" s="24">
        <v>0</v>
      </c>
      <c r="AX120" s="35"/>
      <c r="AY120" s="24">
        <f ca="1">IFERROR(VLOOKUP(B120,'兼职+帮忙'!B:AF,28,FALSE),0)</f>
        <v>0</v>
      </c>
      <c r="AZ120" s="35"/>
    </row>
    <row r="121" ht="15.6" customHeight="1" spans="1:52">
      <c r="A121" s="15">
        <v>263420</v>
      </c>
      <c r="B121" s="15" t="s">
        <v>202</v>
      </c>
      <c r="C121" s="35" t="str">
        <f>VLOOKUP(B121,'姓名+分部'!A:B,2,FALSE)</f>
        <v>一分部</v>
      </c>
      <c r="D121" s="35" t="s">
        <v>40</v>
      </c>
      <c r="E121" s="58" t="str">
        <f ca="1" t="shared" si="34"/>
        <v>无排名</v>
      </c>
      <c r="F121" s="35" t="str">
        <f ca="1" t="shared" si="35"/>
        <v>继续培训</v>
      </c>
      <c r="G121" s="35" t="str">
        <f t="shared" si="65"/>
        <v>A2</v>
      </c>
      <c r="H121" s="59">
        <f t="shared" si="36"/>
        <v>46003</v>
      </c>
      <c r="I121" s="60">
        <v>45883</v>
      </c>
      <c r="J121" s="35" t="str">
        <f t="shared" si="37"/>
        <v>未完成</v>
      </c>
      <c r="K121" s="35"/>
      <c r="L121" s="58" t="str">
        <f t="shared" si="38"/>
        <v>未完成</v>
      </c>
      <c r="M121" s="58" t="str">
        <f t="shared" si="39"/>
        <v>未完成</v>
      </c>
      <c r="N121" s="35"/>
      <c r="O121" s="58" t="str">
        <f t="shared" si="40"/>
        <v>未完成</v>
      </c>
      <c r="P121" s="58" t="str">
        <f t="shared" si="41"/>
        <v>未完成</v>
      </c>
      <c r="Q121" s="35"/>
      <c r="R121" s="35"/>
      <c r="S121" s="35" t="str">
        <f t="shared" si="42"/>
        <v>未完成</v>
      </c>
      <c r="T121" s="35"/>
      <c r="U121" s="35" t="str">
        <f t="shared" si="43"/>
        <v>未完成</v>
      </c>
      <c r="V121" s="61"/>
      <c r="W121" s="35" t="str">
        <f t="shared" si="44"/>
        <v>未完成</v>
      </c>
      <c r="X121" s="61"/>
      <c r="Y121" s="62">
        <f ca="1" t="shared" si="45"/>
        <v>20</v>
      </c>
      <c r="Z121" s="58" t="s">
        <v>75</v>
      </c>
      <c r="AA121" s="35">
        <f t="shared" si="46"/>
        <v>5</v>
      </c>
      <c r="AB121" s="58" t="s">
        <v>75</v>
      </c>
      <c r="AC121" s="35">
        <f t="shared" si="47"/>
        <v>10</v>
      </c>
      <c r="AD121" s="58" t="s">
        <v>75</v>
      </c>
      <c r="AE121" s="35">
        <f t="shared" si="48"/>
        <v>5</v>
      </c>
      <c r="AF121" s="63">
        <f t="shared" si="49"/>
        <v>0</v>
      </c>
      <c r="AG121" s="64">
        <f ca="1" t="shared" si="50"/>
        <v>0</v>
      </c>
      <c r="AH121" s="35">
        <f ca="1" t="shared" si="51"/>
        <v>0</v>
      </c>
      <c r="AI121" s="64">
        <f ca="1" t="shared" si="52"/>
        <v>0</v>
      </c>
      <c r="AJ121" s="35">
        <f ca="1" t="shared" si="53"/>
        <v>0</v>
      </c>
      <c r="AK121" s="35">
        <f t="shared" si="54"/>
        <v>0</v>
      </c>
      <c r="AL121" s="64">
        <f ca="1" t="shared" si="55"/>
        <v>0</v>
      </c>
      <c r="AM121" s="35">
        <f ca="1" t="shared" si="56"/>
        <v>0</v>
      </c>
      <c r="AN121" s="35">
        <f t="shared" si="57"/>
        <v>0</v>
      </c>
      <c r="AO121" s="64">
        <f ca="1" t="shared" si="58"/>
        <v>0</v>
      </c>
      <c r="AP121" s="35">
        <f ca="1" t="shared" si="59"/>
        <v>0</v>
      </c>
      <c r="AQ121" s="35">
        <f t="shared" si="60"/>
        <v>0</v>
      </c>
      <c r="AR121" s="64">
        <f ca="1" t="shared" si="61"/>
        <v>0</v>
      </c>
      <c r="AS121" s="35">
        <f ca="1" t="shared" si="62"/>
        <v>0</v>
      </c>
      <c r="AT121" s="65">
        <f>VLOOKUP(B121,经历时间!A:B,2,FALSE)</f>
        <v>1821.08</v>
      </c>
      <c r="AU121" s="67">
        <f t="shared" si="63"/>
        <v>0</v>
      </c>
      <c r="AV121" s="35">
        <f ca="1" t="shared" si="64"/>
        <v>5</v>
      </c>
      <c r="AW121" s="24">
        <v>0</v>
      </c>
      <c r="AX121" s="35"/>
      <c r="AY121" s="24">
        <f ca="1">IFERROR(VLOOKUP(B121,'兼职+帮忙'!B:AF,28,FALSE),0)</f>
        <v>0</v>
      </c>
      <c r="AZ121" s="35"/>
    </row>
    <row r="122" ht="15.6" customHeight="1" spans="1:52">
      <c r="A122" s="75">
        <v>274985</v>
      </c>
      <c r="B122" s="75" t="s">
        <v>203</v>
      </c>
      <c r="C122" s="35" t="str">
        <f>VLOOKUP(B122,'姓名+分部'!A:B,2,FALSE)</f>
        <v>二分部</v>
      </c>
      <c r="D122" s="35" t="s">
        <v>42</v>
      </c>
      <c r="E122" s="58" t="str">
        <f ca="1" t="shared" si="34"/>
        <v>无排名</v>
      </c>
      <c r="F122" s="35" t="str">
        <f ca="1" t="shared" si="35"/>
        <v>继续培训</v>
      </c>
      <c r="G122" s="35" t="str">
        <f t="shared" si="65"/>
        <v>B</v>
      </c>
      <c r="H122" s="59">
        <f t="shared" si="36"/>
        <v>46058</v>
      </c>
      <c r="I122" s="60">
        <v>45509</v>
      </c>
      <c r="J122" s="35">
        <f t="shared" si="37"/>
        <v>5</v>
      </c>
      <c r="K122" s="59">
        <v>45668</v>
      </c>
      <c r="L122" s="58" t="str">
        <f t="shared" si="38"/>
        <v>未完成</v>
      </c>
      <c r="M122" s="58" t="str">
        <f t="shared" si="39"/>
        <v>未完成</v>
      </c>
      <c r="N122" s="35"/>
      <c r="O122" s="58" t="str">
        <f t="shared" si="40"/>
        <v>未完成</v>
      </c>
      <c r="P122" s="58" t="str">
        <f t="shared" si="41"/>
        <v>未完成</v>
      </c>
      <c r="Q122" s="35"/>
      <c r="R122" s="35"/>
      <c r="S122" s="35" t="str">
        <f t="shared" si="42"/>
        <v>未完成</v>
      </c>
      <c r="T122" s="35"/>
      <c r="U122" s="35" t="str">
        <f t="shared" si="43"/>
        <v>未完成</v>
      </c>
      <c r="V122" s="61"/>
      <c r="W122" s="35" t="str">
        <f t="shared" si="44"/>
        <v>未完成</v>
      </c>
      <c r="X122" s="61"/>
      <c r="Y122" s="62">
        <f ca="1" t="shared" si="45"/>
        <v>20</v>
      </c>
      <c r="Z122" s="58" t="s">
        <v>75</v>
      </c>
      <c r="AA122" s="35">
        <f t="shared" si="46"/>
        <v>5</v>
      </c>
      <c r="AB122" s="58" t="s">
        <v>75</v>
      </c>
      <c r="AC122" s="35">
        <f t="shared" si="47"/>
        <v>10</v>
      </c>
      <c r="AD122" s="58" t="s">
        <v>75</v>
      </c>
      <c r="AE122" s="35">
        <f t="shared" si="48"/>
        <v>5</v>
      </c>
      <c r="AF122" s="63">
        <f t="shared" si="49"/>
        <v>10</v>
      </c>
      <c r="AG122" s="64">
        <f ca="1" t="shared" si="50"/>
        <v>0</v>
      </c>
      <c r="AH122" s="35">
        <f ca="1" t="shared" si="51"/>
        <v>0</v>
      </c>
      <c r="AI122" s="64">
        <f ca="1" t="shared" si="52"/>
        <v>0</v>
      </c>
      <c r="AJ122" s="35">
        <f ca="1" t="shared" si="53"/>
        <v>0</v>
      </c>
      <c r="AK122" s="35">
        <f t="shared" si="54"/>
        <v>0</v>
      </c>
      <c r="AL122" s="64">
        <f ca="1" t="shared" si="55"/>
        <v>0</v>
      </c>
      <c r="AM122" s="35">
        <f ca="1" t="shared" si="56"/>
        <v>0</v>
      </c>
      <c r="AN122" s="35">
        <f t="shared" si="57"/>
        <v>0</v>
      </c>
      <c r="AO122" s="64">
        <f ca="1" t="shared" si="58"/>
        <v>0</v>
      </c>
      <c r="AP122" s="35">
        <f ca="1" t="shared" si="59"/>
        <v>0</v>
      </c>
      <c r="AQ122" s="35">
        <f t="shared" si="60"/>
        <v>0</v>
      </c>
      <c r="AR122" s="64">
        <f ca="1" t="shared" si="61"/>
        <v>0</v>
      </c>
      <c r="AS122" s="35">
        <f ca="1" t="shared" si="62"/>
        <v>0</v>
      </c>
      <c r="AT122" s="65">
        <f>VLOOKUP(B122,经历时间!A:B,2,FALSE)</f>
        <v>1382.36</v>
      </c>
      <c r="AU122" s="67">
        <f t="shared" si="63"/>
        <v>0</v>
      </c>
      <c r="AV122" s="35">
        <f ca="1" t="shared" si="64"/>
        <v>17</v>
      </c>
      <c r="AW122" s="24">
        <v>0</v>
      </c>
      <c r="AX122" s="35"/>
      <c r="AY122" s="24">
        <f ca="1">IFERROR(VLOOKUP(B122,'兼职+帮忙'!B:AF,28,FALSE),0)</f>
        <v>0</v>
      </c>
      <c r="AZ122" s="35"/>
    </row>
    <row r="123" ht="15.6" customHeight="1" spans="1:52">
      <c r="A123" s="15">
        <v>283807</v>
      </c>
      <c r="B123" s="15" t="s">
        <v>204</v>
      </c>
      <c r="C123" s="35" t="str">
        <f>VLOOKUP(B123,'姓名+分部'!A:B,2,FALSE)</f>
        <v>二分部</v>
      </c>
      <c r="D123" s="35" t="s">
        <v>45</v>
      </c>
      <c r="E123" s="58" t="str">
        <f ca="1" t="shared" si="34"/>
        <v>无排名</v>
      </c>
      <c r="F123" s="35" t="str">
        <f ca="1" t="shared" si="35"/>
        <v>继续培训</v>
      </c>
      <c r="G123" s="35" t="str">
        <f t="shared" si="65"/>
        <v>A2</v>
      </c>
      <c r="H123" s="59">
        <f t="shared" si="36"/>
        <v>46018</v>
      </c>
      <c r="I123" s="60">
        <v>45898</v>
      </c>
      <c r="J123" s="35" t="str">
        <f t="shared" si="37"/>
        <v>未完成</v>
      </c>
      <c r="K123" s="35"/>
      <c r="L123" s="58" t="str">
        <f t="shared" si="38"/>
        <v>未完成</v>
      </c>
      <c r="M123" s="58" t="str">
        <f t="shared" si="39"/>
        <v>未完成</v>
      </c>
      <c r="N123" s="35"/>
      <c r="O123" s="58" t="str">
        <f t="shared" si="40"/>
        <v>未完成</v>
      </c>
      <c r="P123" s="58" t="str">
        <f t="shared" si="41"/>
        <v>未完成</v>
      </c>
      <c r="Q123" s="35"/>
      <c r="R123" s="35"/>
      <c r="S123" s="35" t="str">
        <f t="shared" si="42"/>
        <v>未完成</v>
      </c>
      <c r="T123" s="35"/>
      <c r="U123" s="35" t="str">
        <f t="shared" si="43"/>
        <v>未完成</v>
      </c>
      <c r="V123" s="61"/>
      <c r="W123" s="35" t="str">
        <f t="shared" si="44"/>
        <v>未完成</v>
      </c>
      <c r="X123" s="61"/>
      <c r="Y123" s="62">
        <f ca="1" t="shared" si="45"/>
        <v>20</v>
      </c>
      <c r="Z123" s="58" t="s">
        <v>75</v>
      </c>
      <c r="AA123" s="35">
        <f t="shared" si="46"/>
        <v>5</v>
      </c>
      <c r="AB123" s="58" t="s">
        <v>75</v>
      </c>
      <c r="AC123" s="35">
        <f t="shared" si="47"/>
        <v>10</v>
      </c>
      <c r="AD123" s="58" t="s">
        <v>75</v>
      </c>
      <c r="AE123" s="35">
        <f t="shared" si="48"/>
        <v>5</v>
      </c>
      <c r="AF123" s="63">
        <f t="shared" si="49"/>
        <v>0</v>
      </c>
      <c r="AG123" s="64">
        <f ca="1" t="shared" si="50"/>
        <v>0</v>
      </c>
      <c r="AH123" s="35">
        <f ca="1" t="shared" si="51"/>
        <v>0</v>
      </c>
      <c r="AI123" s="64">
        <f ca="1" t="shared" si="52"/>
        <v>0</v>
      </c>
      <c r="AJ123" s="35">
        <f ca="1" t="shared" si="53"/>
        <v>0</v>
      </c>
      <c r="AK123" s="35">
        <f t="shared" si="54"/>
        <v>0</v>
      </c>
      <c r="AL123" s="64">
        <f ca="1" t="shared" si="55"/>
        <v>0</v>
      </c>
      <c r="AM123" s="35">
        <f ca="1" t="shared" si="56"/>
        <v>0</v>
      </c>
      <c r="AN123" s="35">
        <f t="shared" si="57"/>
        <v>0</v>
      </c>
      <c r="AO123" s="64">
        <f ca="1" t="shared" si="58"/>
        <v>0</v>
      </c>
      <c r="AP123" s="35">
        <f ca="1" t="shared" si="59"/>
        <v>0</v>
      </c>
      <c r="AQ123" s="35">
        <f t="shared" si="60"/>
        <v>0</v>
      </c>
      <c r="AR123" s="64">
        <f ca="1" t="shared" si="61"/>
        <v>0</v>
      </c>
      <c r="AS123" s="35">
        <f ca="1" t="shared" si="62"/>
        <v>0</v>
      </c>
      <c r="AT123" s="65">
        <f>VLOOKUP(B123,经历时间!A:B,2,FALSE)</f>
        <v>829.22</v>
      </c>
      <c r="AU123" s="67">
        <f t="shared" si="63"/>
        <v>0</v>
      </c>
      <c r="AV123" s="35">
        <f ca="1" t="shared" si="64"/>
        <v>4</v>
      </c>
      <c r="AW123" s="24">
        <v>0</v>
      </c>
      <c r="AX123" s="35"/>
      <c r="AY123" s="24">
        <f ca="1">IFERROR(VLOOKUP(B123,'兼职+帮忙'!B:AF,28,FALSE),0)</f>
        <v>0</v>
      </c>
      <c r="AZ123" s="35"/>
    </row>
    <row r="124" ht="15.6" customHeight="1" spans="1:52">
      <c r="A124" s="15">
        <v>292765</v>
      </c>
      <c r="B124" s="15" t="s">
        <v>205</v>
      </c>
      <c r="C124" s="35" t="str">
        <f>VLOOKUP(B124,'姓名+分部'!A:B,2,FALSE)</f>
        <v>三分部</v>
      </c>
      <c r="D124" s="35" t="s">
        <v>45</v>
      </c>
      <c r="E124" s="58" t="str">
        <f ca="1" t="shared" si="34"/>
        <v>无排名</v>
      </c>
      <c r="F124" s="35" t="str">
        <f ca="1" t="shared" si="35"/>
        <v>继续培训</v>
      </c>
      <c r="G124" s="35" t="str">
        <f t="shared" si="65"/>
        <v>A2</v>
      </c>
      <c r="H124" s="59">
        <f t="shared" si="36"/>
        <v>46003</v>
      </c>
      <c r="I124" s="60">
        <v>45883</v>
      </c>
      <c r="J124" s="35" t="str">
        <f t="shared" si="37"/>
        <v>未完成</v>
      </c>
      <c r="K124" s="35"/>
      <c r="L124" s="58" t="str">
        <f t="shared" si="38"/>
        <v>未完成</v>
      </c>
      <c r="M124" s="58" t="str">
        <f t="shared" si="39"/>
        <v>未完成</v>
      </c>
      <c r="N124" s="35"/>
      <c r="O124" s="58" t="str">
        <f t="shared" si="40"/>
        <v>未完成</v>
      </c>
      <c r="P124" s="58" t="str">
        <f t="shared" si="41"/>
        <v>未完成</v>
      </c>
      <c r="Q124" s="35"/>
      <c r="R124" s="35"/>
      <c r="S124" s="35" t="str">
        <f t="shared" si="42"/>
        <v>未完成</v>
      </c>
      <c r="T124" s="35"/>
      <c r="U124" s="35" t="str">
        <f t="shared" si="43"/>
        <v>未完成</v>
      </c>
      <c r="V124" s="61"/>
      <c r="W124" s="35" t="str">
        <f t="shared" si="44"/>
        <v>未完成</v>
      </c>
      <c r="X124" s="61"/>
      <c r="Y124" s="62">
        <f ca="1" t="shared" si="45"/>
        <v>20</v>
      </c>
      <c r="Z124" s="58" t="s">
        <v>75</v>
      </c>
      <c r="AA124" s="35">
        <f t="shared" si="46"/>
        <v>5</v>
      </c>
      <c r="AB124" s="58" t="s">
        <v>75</v>
      </c>
      <c r="AC124" s="35">
        <f t="shared" si="47"/>
        <v>10</v>
      </c>
      <c r="AD124" s="58" t="s">
        <v>75</v>
      </c>
      <c r="AE124" s="35">
        <f t="shared" si="48"/>
        <v>5</v>
      </c>
      <c r="AF124" s="63">
        <f t="shared" si="49"/>
        <v>0</v>
      </c>
      <c r="AG124" s="64">
        <f ca="1" t="shared" si="50"/>
        <v>0</v>
      </c>
      <c r="AH124" s="35">
        <f ca="1" t="shared" si="51"/>
        <v>0</v>
      </c>
      <c r="AI124" s="64">
        <f ca="1" t="shared" si="52"/>
        <v>0</v>
      </c>
      <c r="AJ124" s="35">
        <f ca="1" t="shared" si="53"/>
        <v>0</v>
      </c>
      <c r="AK124" s="35">
        <f t="shared" si="54"/>
        <v>0</v>
      </c>
      <c r="AL124" s="64">
        <f ca="1" t="shared" si="55"/>
        <v>0</v>
      </c>
      <c r="AM124" s="35">
        <f ca="1" t="shared" si="56"/>
        <v>0</v>
      </c>
      <c r="AN124" s="35">
        <f t="shared" si="57"/>
        <v>0</v>
      </c>
      <c r="AO124" s="64">
        <f ca="1" t="shared" si="58"/>
        <v>0</v>
      </c>
      <c r="AP124" s="35">
        <f ca="1" t="shared" si="59"/>
        <v>0</v>
      </c>
      <c r="AQ124" s="35">
        <f t="shared" si="60"/>
        <v>0</v>
      </c>
      <c r="AR124" s="64">
        <f ca="1" t="shared" si="61"/>
        <v>0</v>
      </c>
      <c r="AS124" s="35">
        <f ca="1" t="shared" si="62"/>
        <v>0</v>
      </c>
      <c r="AT124" s="65">
        <f>VLOOKUP(B124,经历时间!A:B,2,FALSE)</f>
        <v>439.1</v>
      </c>
      <c r="AU124" s="67">
        <f t="shared" si="63"/>
        <v>0</v>
      </c>
      <c r="AV124" s="35">
        <f ca="1" t="shared" si="64"/>
        <v>5</v>
      </c>
      <c r="AW124" s="24">
        <v>0</v>
      </c>
      <c r="AX124" s="35"/>
      <c r="AY124" s="24">
        <f ca="1">IFERROR(VLOOKUP(B124,'兼职+帮忙'!B:AF,28,FALSE),0)</f>
        <v>0</v>
      </c>
      <c r="AZ124" s="35"/>
    </row>
    <row r="125" ht="15.6" customHeight="1" spans="1:52">
      <c r="A125" s="15">
        <v>294186</v>
      </c>
      <c r="B125" s="15" t="s">
        <v>206</v>
      </c>
      <c r="C125" s="35" t="str">
        <f>VLOOKUP(B125,'姓名+分部'!A:B,2,FALSE)</f>
        <v>一分部</v>
      </c>
      <c r="D125" s="35" t="s">
        <v>45</v>
      </c>
      <c r="E125" s="58" t="str">
        <f ca="1" t="shared" si="34"/>
        <v>无排名</v>
      </c>
      <c r="F125" s="35" t="str">
        <f ca="1" t="shared" si="35"/>
        <v>继续培训</v>
      </c>
      <c r="G125" s="35" t="str">
        <f t="shared" si="65"/>
        <v>A2</v>
      </c>
      <c r="H125" s="59">
        <f t="shared" si="36"/>
        <v>46018</v>
      </c>
      <c r="I125" s="60">
        <v>45898</v>
      </c>
      <c r="J125" s="35" t="str">
        <f t="shared" si="37"/>
        <v>未完成</v>
      </c>
      <c r="K125" s="35"/>
      <c r="L125" s="58" t="str">
        <f t="shared" si="38"/>
        <v>未完成</v>
      </c>
      <c r="M125" s="58" t="str">
        <f t="shared" si="39"/>
        <v>未完成</v>
      </c>
      <c r="N125" s="35"/>
      <c r="O125" s="58" t="str">
        <f t="shared" si="40"/>
        <v>未完成</v>
      </c>
      <c r="P125" s="58" t="str">
        <f t="shared" si="41"/>
        <v>未完成</v>
      </c>
      <c r="Q125" s="35"/>
      <c r="R125" s="35"/>
      <c r="S125" s="35" t="str">
        <f t="shared" si="42"/>
        <v>未完成</v>
      </c>
      <c r="T125" s="35"/>
      <c r="U125" s="35" t="str">
        <f t="shared" si="43"/>
        <v>未完成</v>
      </c>
      <c r="V125" s="61"/>
      <c r="W125" s="35" t="str">
        <f t="shared" si="44"/>
        <v>未完成</v>
      </c>
      <c r="X125" s="61"/>
      <c r="Y125" s="62">
        <f ca="1" t="shared" si="45"/>
        <v>20</v>
      </c>
      <c r="Z125" s="58" t="s">
        <v>75</v>
      </c>
      <c r="AA125" s="35">
        <f t="shared" si="46"/>
        <v>5</v>
      </c>
      <c r="AB125" s="58" t="s">
        <v>75</v>
      </c>
      <c r="AC125" s="35">
        <f t="shared" si="47"/>
        <v>10</v>
      </c>
      <c r="AD125" s="58" t="s">
        <v>75</v>
      </c>
      <c r="AE125" s="35">
        <f t="shared" si="48"/>
        <v>5</v>
      </c>
      <c r="AF125" s="63">
        <f t="shared" si="49"/>
        <v>0</v>
      </c>
      <c r="AG125" s="64">
        <f ca="1" t="shared" si="50"/>
        <v>0</v>
      </c>
      <c r="AH125" s="35">
        <f ca="1" t="shared" si="51"/>
        <v>0</v>
      </c>
      <c r="AI125" s="64">
        <f ca="1" t="shared" si="52"/>
        <v>0</v>
      </c>
      <c r="AJ125" s="35">
        <f ca="1" t="shared" si="53"/>
        <v>0</v>
      </c>
      <c r="AK125" s="35">
        <f t="shared" si="54"/>
        <v>0</v>
      </c>
      <c r="AL125" s="64">
        <f ca="1" t="shared" si="55"/>
        <v>0</v>
      </c>
      <c r="AM125" s="35">
        <f ca="1" t="shared" si="56"/>
        <v>0</v>
      </c>
      <c r="AN125" s="35">
        <f t="shared" si="57"/>
        <v>0</v>
      </c>
      <c r="AO125" s="64">
        <f ca="1" t="shared" si="58"/>
        <v>0</v>
      </c>
      <c r="AP125" s="35">
        <f ca="1" t="shared" si="59"/>
        <v>0</v>
      </c>
      <c r="AQ125" s="35">
        <f t="shared" si="60"/>
        <v>0</v>
      </c>
      <c r="AR125" s="64">
        <f ca="1" t="shared" si="61"/>
        <v>0</v>
      </c>
      <c r="AS125" s="35">
        <f ca="1" t="shared" si="62"/>
        <v>0</v>
      </c>
      <c r="AT125" s="65">
        <f>VLOOKUP(B125,经历时间!A:B,2,FALSE)</f>
        <v>355.27</v>
      </c>
      <c r="AU125" s="67">
        <f t="shared" si="63"/>
        <v>0</v>
      </c>
      <c r="AV125" s="35">
        <f ca="1" t="shared" si="64"/>
        <v>4</v>
      </c>
      <c r="AW125" s="24">
        <v>0</v>
      </c>
      <c r="AX125" s="35"/>
      <c r="AY125" s="24">
        <f ca="1">IFERROR(VLOOKUP(B125,'兼职+帮忙'!B:AF,28,FALSE),0)</f>
        <v>0</v>
      </c>
      <c r="AZ125" s="35"/>
    </row>
    <row r="126" ht="15.6" customHeight="1" spans="1:52">
      <c r="A126" s="15">
        <v>273305</v>
      </c>
      <c r="B126" s="15" t="s">
        <v>207</v>
      </c>
      <c r="C126" s="35" t="str">
        <f>VLOOKUP(B126,'姓名+分部'!A:B,2,FALSE)</f>
        <v>一分部</v>
      </c>
      <c r="D126" s="35" t="s">
        <v>40</v>
      </c>
      <c r="E126" s="58" t="str">
        <f ca="1" t="shared" si="34"/>
        <v>无排名</v>
      </c>
      <c r="F126" s="35" t="str">
        <f ca="1" t="shared" si="35"/>
        <v>继续培训</v>
      </c>
      <c r="G126" s="35" t="str">
        <f t="shared" si="65"/>
        <v>A2</v>
      </c>
      <c r="H126" s="59">
        <f t="shared" si="36"/>
        <v>46022</v>
      </c>
      <c r="I126" s="60">
        <v>45902</v>
      </c>
      <c r="J126" s="35" t="str">
        <f t="shared" si="37"/>
        <v>未完成</v>
      </c>
      <c r="K126" s="35"/>
      <c r="L126" s="58" t="str">
        <f t="shared" si="38"/>
        <v>未完成</v>
      </c>
      <c r="M126" s="58" t="str">
        <f t="shared" si="39"/>
        <v>未完成</v>
      </c>
      <c r="N126" s="35"/>
      <c r="O126" s="58" t="str">
        <f t="shared" si="40"/>
        <v>未完成</v>
      </c>
      <c r="P126" s="58" t="str">
        <f t="shared" si="41"/>
        <v>未完成</v>
      </c>
      <c r="Q126" s="35"/>
      <c r="R126" s="35"/>
      <c r="S126" s="35" t="str">
        <f t="shared" si="42"/>
        <v>未完成</v>
      </c>
      <c r="T126" s="35"/>
      <c r="U126" s="35" t="str">
        <f t="shared" si="43"/>
        <v>未完成</v>
      </c>
      <c r="V126" s="61"/>
      <c r="W126" s="35" t="str">
        <f t="shared" si="44"/>
        <v>未完成</v>
      </c>
      <c r="X126" s="61"/>
      <c r="Y126" s="62">
        <f ca="1" t="shared" si="45"/>
        <v>20</v>
      </c>
      <c r="Z126" s="58" t="s">
        <v>75</v>
      </c>
      <c r="AA126" s="35">
        <f t="shared" si="46"/>
        <v>5</v>
      </c>
      <c r="AB126" s="58" t="s">
        <v>75</v>
      </c>
      <c r="AC126" s="35">
        <f t="shared" si="47"/>
        <v>10</v>
      </c>
      <c r="AD126" s="58" t="s">
        <v>75</v>
      </c>
      <c r="AE126" s="35">
        <f t="shared" si="48"/>
        <v>5</v>
      </c>
      <c r="AF126" s="63">
        <f t="shared" si="49"/>
        <v>0</v>
      </c>
      <c r="AG126" s="64">
        <f ca="1" t="shared" si="50"/>
        <v>0</v>
      </c>
      <c r="AH126" s="35">
        <f ca="1" t="shared" si="51"/>
        <v>0</v>
      </c>
      <c r="AI126" s="64">
        <f ca="1" t="shared" si="52"/>
        <v>0</v>
      </c>
      <c r="AJ126" s="35">
        <f ca="1" t="shared" si="53"/>
        <v>0</v>
      </c>
      <c r="AK126" s="35">
        <f t="shared" si="54"/>
        <v>0</v>
      </c>
      <c r="AL126" s="64">
        <f ca="1" t="shared" si="55"/>
        <v>0</v>
      </c>
      <c r="AM126" s="35">
        <f ca="1" t="shared" si="56"/>
        <v>0</v>
      </c>
      <c r="AN126" s="35">
        <f t="shared" si="57"/>
        <v>0</v>
      </c>
      <c r="AO126" s="64">
        <f ca="1" t="shared" si="58"/>
        <v>0</v>
      </c>
      <c r="AP126" s="35">
        <f ca="1" t="shared" si="59"/>
        <v>0</v>
      </c>
      <c r="AQ126" s="35">
        <f t="shared" si="60"/>
        <v>0</v>
      </c>
      <c r="AR126" s="64">
        <f ca="1" t="shared" si="61"/>
        <v>0</v>
      </c>
      <c r="AS126" s="35">
        <f ca="1" t="shared" si="62"/>
        <v>0</v>
      </c>
      <c r="AT126" s="65">
        <f>VLOOKUP(B126,经历时间!A:B,2,FALSE)</f>
        <v>1918.25</v>
      </c>
      <c r="AU126" s="67">
        <f t="shared" si="63"/>
        <v>0</v>
      </c>
      <c r="AV126" s="35">
        <f ca="1" t="shared" si="64"/>
        <v>4</v>
      </c>
      <c r="AW126" s="24">
        <v>0</v>
      </c>
      <c r="AX126" s="35"/>
      <c r="AY126" s="24">
        <f ca="1">IFERROR(VLOOKUP(B126,'兼职+帮忙'!B:AF,28,FALSE),0)</f>
        <v>0</v>
      </c>
      <c r="AZ126" s="35"/>
    </row>
    <row r="127" ht="15.6" customHeight="1" spans="1:52">
      <c r="A127" s="15">
        <v>298237</v>
      </c>
      <c r="B127" s="15" t="s">
        <v>208</v>
      </c>
      <c r="C127" s="35" t="str">
        <f>VLOOKUP(B127,'姓名+分部'!A:B,2,FALSE)</f>
        <v>三分部</v>
      </c>
      <c r="D127" s="35" t="s">
        <v>40</v>
      </c>
      <c r="E127" s="58" t="str">
        <f ca="1" t="shared" si="34"/>
        <v>无排名</v>
      </c>
      <c r="F127" s="35" t="str">
        <f ca="1" t="shared" si="35"/>
        <v>继续培训</v>
      </c>
      <c r="G127" s="35" t="str">
        <f t="shared" si="65"/>
        <v>A2</v>
      </c>
      <c r="H127" s="59">
        <f t="shared" si="36"/>
        <v>46022</v>
      </c>
      <c r="I127" s="60">
        <v>45902</v>
      </c>
      <c r="J127" s="35" t="str">
        <f t="shared" si="37"/>
        <v>未完成</v>
      </c>
      <c r="K127" s="35"/>
      <c r="L127" s="58" t="str">
        <f t="shared" si="38"/>
        <v>未完成</v>
      </c>
      <c r="M127" s="58" t="str">
        <f t="shared" si="39"/>
        <v>未完成</v>
      </c>
      <c r="N127" s="35"/>
      <c r="O127" s="58" t="str">
        <f t="shared" si="40"/>
        <v>未完成</v>
      </c>
      <c r="P127" s="58" t="str">
        <f t="shared" si="41"/>
        <v>未完成</v>
      </c>
      <c r="Q127" s="35"/>
      <c r="R127" s="35"/>
      <c r="S127" s="35" t="str">
        <f t="shared" si="42"/>
        <v>未完成</v>
      </c>
      <c r="T127" s="35"/>
      <c r="U127" s="35" t="str">
        <f t="shared" si="43"/>
        <v>未完成</v>
      </c>
      <c r="V127" s="61"/>
      <c r="W127" s="35" t="str">
        <f t="shared" si="44"/>
        <v>未完成</v>
      </c>
      <c r="X127" s="61"/>
      <c r="Y127" s="62">
        <f ca="1" t="shared" si="45"/>
        <v>20</v>
      </c>
      <c r="Z127" s="58" t="s">
        <v>75</v>
      </c>
      <c r="AA127" s="35">
        <f t="shared" si="46"/>
        <v>5</v>
      </c>
      <c r="AB127" s="58" t="s">
        <v>75</v>
      </c>
      <c r="AC127" s="35">
        <f t="shared" si="47"/>
        <v>10</v>
      </c>
      <c r="AD127" s="58" t="s">
        <v>75</v>
      </c>
      <c r="AE127" s="35">
        <f t="shared" si="48"/>
        <v>5</v>
      </c>
      <c r="AF127" s="63">
        <f t="shared" si="49"/>
        <v>0</v>
      </c>
      <c r="AG127" s="64">
        <f ca="1" t="shared" si="50"/>
        <v>0</v>
      </c>
      <c r="AH127" s="35">
        <f ca="1" t="shared" si="51"/>
        <v>0</v>
      </c>
      <c r="AI127" s="64">
        <f ca="1" t="shared" si="52"/>
        <v>0</v>
      </c>
      <c r="AJ127" s="35">
        <f ca="1" t="shared" si="53"/>
        <v>0</v>
      </c>
      <c r="AK127" s="35">
        <f t="shared" si="54"/>
        <v>0</v>
      </c>
      <c r="AL127" s="64">
        <f ca="1" t="shared" si="55"/>
        <v>0</v>
      </c>
      <c r="AM127" s="35">
        <f ca="1" t="shared" si="56"/>
        <v>0</v>
      </c>
      <c r="AN127" s="35">
        <f t="shared" si="57"/>
        <v>0</v>
      </c>
      <c r="AO127" s="64">
        <f ca="1" t="shared" si="58"/>
        <v>0</v>
      </c>
      <c r="AP127" s="35">
        <f ca="1" t="shared" si="59"/>
        <v>0</v>
      </c>
      <c r="AQ127" s="35">
        <f t="shared" si="60"/>
        <v>0</v>
      </c>
      <c r="AR127" s="64">
        <f ca="1" t="shared" si="61"/>
        <v>0</v>
      </c>
      <c r="AS127" s="35">
        <f ca="1" t="shared" si="62"/>
        <v>0</v>
      </c>
      <c r="AT127" s="65">
        <f>VLOOKUP(B127,经历时间!A:B,2,FALSE)</f>
        <v>330.2</v>
      </c>
      <c r="AU127" s="67">
        <f t="shared" si="63"/>
        <v>0</v>
      </c>
      <c r="AV127" s="35">
        <f ca="1" t="shared" si="64"/>
        <v>4</v>
      </c>
      <c r="AW127" s="24">
        <v>0</v>
      </c>
      <c r="AX127" s="35"/>
      <c r="AY127" s="24">
        <f ca="1">IFERROR(VLOOKUP(B127,'兼职+帮忙'!B:AF,28,FALSE),0)</f>
        <v>0</v>
      </c>
      <c r="AZ127" s="35"/>
    </row>
    <row r="128" ht="15.6" customHeight="1" spans="1:52">
      <c r="A128" s="15">
        <v>294185</v>
      </c>
      <c r="B128" s="15" t="s">
        <v>209</v>
      </c>
      <c r="C128" s="35" t="str">
        <f>VLOOKUP(B128,'姓名+分部'!A:B,2,FALSE)</f>
        <v>二分部</v>
      </c>
      <c r="D128" s="35" t="s">
        <v>40</v>
      </c>
      <c r="E128" s="58" t="str">
        <f ca="1" t="shared" si="34"/>
        <v>无排名</v>
      </c>
      <c r="F128" s="35" t="str">
        <f ca="1" t="shared" si="35"/>
        <v>继续培训</v>
      </c>
      <c r="G128" s="35" t="str">
        <f t="shared" si="65"/>
        <v>A2</v>
      </c>
      <c r="H128" s="59">
        <f t="shared" si="36"/>
        <v>46031</v>
      </c>
      <c r="I128" s="60">
        <v>45911</v>
      </c>
      <c r="J128" s="35" t="str">
        <f t="shared" si="37"/>
        <v>未完成</v>
      </c>
      <c r="K128" s="35"/>
      <c r="L128" s="58" t="str">
        <f t="shared" si="38"/>
        <v>未完成</v>
      </c>
      <c r="M128" s="58" t="str">
        <f t="shared" si="39"/>
        <v>未完成</v>
      </c>
      <c r="N128" s="35"/>
      <c r="O128" s="58" t="str">
        <f t="shared" si="40"/>
        <v>未完成</v>
      </c>
      <c r="P128" s="58" t="str">
        <f t="shared" si="41"/>
        <v>未完成</v>
      </c>
      <c r="Q128" s="35"/>
      <c r="R128" s="35"/>
      <c r="S128" s="35" t="str">
        <f t="shared" si="42"/>
        <v>未完成</v>
      </c>
      <c r="T128" s="35"/>
      <c r="U128" s="35" t="str">
        <f t="shared" si="43"/>
        <v>未完成</v>
      </c>
      <c r="V128" s="61"/>
      <c r="W128" s="35" t="str">
        <f t="shared" si="44"/>
        <v>未完成</v>
      </c>
      <c r="X128" s="61"/>
      <c r="Y128" s="62">
        <f ca="1" t="shared" si="45"/>
        <v>20</v>
      </c>
      <c r="Z128" s="58" t="s">
        <v>75</v>
      </c>
      <c r="AA128" s="35">
        <f t="shared" si="46"/>
        <v>5</v>
      </c>
      <c r="AB128" s="58" t="s">
        <v>75</v>
      </c>
      <c r="AC128" s="35">
        <f t="shared" si="47"/>
        <v>10</v>
      </c>
      <c r="AD128" s="58" t="s">
        <v>75</v>
      </c>
      <c r="AE128" s="35">
        <f t="shared" si="48"/>
        <v>5</v>
      </c>
      <c r="AF128" s="63">
        <f t="shared" si="49"/>
        <v>0</v>
      </c>
      <c r="AG128" s="64">
        <f ca="1" t="shared" si="50"/>
        <v>0</v>
      </c>
      <c r="AH128" s="35">
        <f ca="1" t="shared" si="51"/>
        <v>0</v>
      </c>
      <c r="AI128" s="64">
        <f ca="1" t="shared" si="52"/>
        <v>0</v>
      </c>
      <c r="AJ128" s="35">
        <f ca="1" t="shared" si="53"/>
        <v>0</v>
      </c>
      <c r="AK128" s="35">
        <f t="shared" si="54"/>
        <v>0</v>
      </c>
      <c r="AL128" s="64">
        <f ca="1" t="shared" si="55"/>
        <v>0</v>
      </c>
      <c r="AM128" s="35">
        <f ca="1" t="shared" si="56"/>
        <v>0</v>
      </c>
      <c r="AN128" s="35">
        <f t="shared" si="57"/>
        <v>0</v>
      </c>
      <c r="AO128" s="64">
        <f ca="1" t="shared" si="58"/>
        <v>0</v>
      </c>
      <c r="AP128" s="35">
        <f ca="1" t="shared" si="59"/>
        <v>0</v>
      </c>
      <c r="AQ128" s="35">
        <f t="shared" si="60"/>
        <v>0</v>
      </c>
      <c r="AR128" s="64">
        <f ca="1" t="shared" si="61"/>
        <v>0</v>
      </c>
      <c r="AS128" s="35">
        <f ca="1" t="shared" si="62"/>
        <v>0</v>
      </c>
      <c r="AT128" s="65">
        <f>VLOOKUP(B128,经历时间!A:B,2,FALSE)</f>
        <v>323.25</v>
      </c>
      <c r="AU128" s="67">
        <f t="shared" si="63"/>
        <v>0</v>
      </c>
      <c r="AV128" s="35">
        <f ca="1" t="shared" si="64"/>
        <v>4</v>
      </c>
      <c r="AW128" s="24">
        <v>0</v>
      </c>
      <c r="AX128" s="35"/>
      <c r="AY128" s="24">
        <f ca="1">IFERROR(VLOOKUP(B128,'兼职+帮忙'!B:AF,28,FALSE),0)</f>
        <v>0</v>
      </c>
      <c r="AZ128" s="35"/>
    </row>
    <row r="129" ht="15.6" customHeight="1" spans="1:52">
      <c r="A129" s="15">
        <v>278746</v>
      </c>
      <c r="B129" s="15" t="s">
        <v>210</v>
      </c>
      <c r="C129" s="35" t="str">
        <f>VLOOKUP(B129,'姓名+分部'!A:B,2,FALSE)</f>
        <v>三分部</v>
      </c>
      <c r="D129" s="35" t="s">
        <v>40</v>
      </c>
      <c r="E129" s="58" t="str">
        <f ca="1" t="shared" si="34"/>
        <v>无排名</v>
      </c>
      <c r="F129" s="35" t="str">
        <f ca="1" t="shared" si="35"/>
        <v>继续培训</v>
      </c>
      <c r="G129" s="35" t="str">
        <f t="shared" si="65"/>
        <v>A2</v>
      </c>
      <c r="H129" s="59">
        <f t="shared" si="36"/>
        <v>46064</v>
      </c>
      <c r="I129" s="60">
        <v>45944</v>
      </c>
      <c r="J129" s="35" t="str">
        <f t="shared" si="37"/>
        <v>未完成</v>
      </c>
      <c r="K129" s="35"/>
      <c r="L129" s="58" t="str">
        <f t="shared" si="38"/>
        <v>未完成</v>
      </c>
      <c r="M129" s="58" t="str">
        <f t="shared" si="39"/>
        <v>未完成</v>
      </c>
      <c r="N129" s="35"/>
      <c r="O129" s="58" t="str">
        <f t="shared" si="40"/>
        <v>未完成</v>
      </c>
      <c r="P129" s="58" t="str">
        <f t="shared" si="41"/>
        <v>未完成</v>
      </c>
      <c r="Q129" s="35"/>
      <c r="R129" s="35"/>
      <c r="S129" s="35" t="str">
        <f t="shared" si="42"/>
        <v>未完成</v>
      </c>
      <c r="T129" s="35"/>
      <c r="U129" s="35" t="str">
        <f t="shared" si="43"/>
        <v>未完成</v>
      </c>
      <c r="V129" s="61"/>
      <c r="W129" s="35" t="str">
        <f t="shared" si="44"/>
        <v>未完成</v>
      </c>
      <c r="X129" s="61"/>
      <c r="Y129" s="62">
        <f ca="1" t="shared" si="45"/>
        <v>20</v>
      </c>
      <c r="Z129" s="58" t="s">
        <v>75</v>
      </c>
      <c r="AA129" s="35">
        <f t="shared" si="46"/>
        <v>5</v>
      </c>
      <c r="AB129" s="58" t="s">
        <v>75</v>
      </c>
      <c r="AC129" s="35">
        <f t="shared" si="47"/>
        <v>10</v>
      </c>
      <c r="AD129" s="58" t="s">
        <v>75</v>
      </c>
      <c r="AE129" s="35">
        <f t="shared" si="48"/>
        <v>5</v>
      </c>
      <c r="AF129" s="63">
        <f t="shared" si="49"/>
        <v>0</v>
      </c>
      <c r="AG129" s="64">
        <f ca="1" t="shared" si="50"/>
        <v>0</v>
      </c>
      <c r="AH129" s="35">
        <f ca="1" t="shared" si="51"/>
        <v>0</v>
      </c>
      <c r="AI129" s="64">
        <f ca="1" t="shared" si="52"/>
        <v>0</v>
      </c>
      <c r="AJ129" s="35">
        <f ca="1" t="shared" si="53"/>
        <v>0</v>
      </c>
      <c r="AK129" s="35">
        <f t="shared" si="54"/>
        <v>0</v>
      </c>
      <c r="AL129" s="64">
        <f ca="1" t="shared" si="55"/>
        <v>0</v>
      </c>
      <c r="AM129" s="35">
        <f ca="1" t="shared" si="56"/>
        <v>0</v>
      </c>
      <c r="AN129" s="35">
        <f t="shared" si="57"/>
        <v>0</v>
      </c>
      <c r="AO129" s="64">
        <f ca="1" t="shared" si="58"/>
        <v>0</v>
      </c>
      <c r="AP129" s="35">
        <f ca="1" t="shared" si="59"/>
        <v>0</v>
      </c>
      <c r="AQ129" s="35">
        <f t="shared" si="60"/>
        <v>0</v>
      </c>
      <c r="AR129" s="64">
        <f ca="1" t="shared" si="61"/>
        <v>0</v>
      </c>
      <c r="AS129" s="35">
        <f ca="1" t="shared" si="62"/>
        <v>0</v>
      </c>
      <c r="AT129" s="65">
        <f>VLOOKUP(B129,经历时间!A:B,2,FALSE)</f>
        <v>777.09</v>
      </c>
      <c r="AU129" s="67">
        <f t="shared" si="63"/>
        <v>0</v>
      </c>
      <c r="AV129" s="35">
        <f ca="1" t="shared" si="64"/>
        <v>3</v>
      </c>
      <c r="AW129" s="24">
        <v>0</v>
      </c>
      <c r="AX129" s="35"/>
      <c r="AY129" s="24">
        <f ca="1">IFERROR(VLOOKUP(B129,'兼职+帮忙'!B:AF,28,FALSE),0)</f>
        <v>0</v>
      </c>
      <c r="AZ129" s="35"/>
    </row>
    <row r="130" ht="15.6" customHeight="1" spans="1:52">
      <c r="A130" s="15">
        <v>284201</v>
      </c>
      <c r="B130" s="15" t="s">
        <v>211</v>
      </c>
      <c r="C130" s="35" t="str">
        <f>VLOOKUP(B130,'姓名+分部'!A:B,2,FALSE)</f>
        <v>一分部</v>
      </c>
      <c r="D130" s="35" t="s">
        <v>40</v>
      </c>
      <c r="E130" s="58" t="str">
        <f ca="1" t="shared" ref="E130:E149" si="66">IF(Q130&gt;0,RANK(Y130,Y$2:Y$133),"无排名")</f>
        <v>无排名</v>
      </c>
      <c r="F130" s="35" t="str">
        <f ca="1" t="shared" ref="F130:F149" si="67">IF(AND(Y130&gt;1000,Q130&gt;0,T130&gt;0,V130&gt;0,AV130&gt;48,AI130&gt;3),"可流转","继续培训")</f>
        <v>继续培训</v>
      </c>
      <c r="G130" s="35" t="str">
        <f t="shared" si="65"/>
        <v>A2</v>
      </c>
      <c r="H130" s="59">
        <f t="shared" ref="H130:H149" si="68">_xlfn.IFS(N130&gt;0,"完成考核",K130&gt;0,K130+390,I130&gt;0,I130+120)</f>
        <v>46048</v>
      </c>
      <c r="I130" s="60">
        <v>45928</v>
      </c>
      <c r="J130" s="35" t="str">
        <f t="shared" ref="J130:J149" si="69">IF($I130&gt;0,IF(K130&gt;0,DATEDIF(I130,K130,"m"),"未完成"),"学员")</f>
        <v>未完成</v>
      </c>
      <c r="K130" s="35"/>
      <c r="L130" s="58" t="str">
        <f t="shared" ref="L130:L149" si="70">IF($I130&gt;0,IF(N130&gt;0,DATEDIF(I130,N130,"m"),"未完成"),"学员")</f>
        <v>未完成</v>
      </c>
      <c r="M130" s="58" t="str">
        <f t="shared" ref="M130:M149" si="71">IF($I130&gt;0,IF(N130&gt;0,DATEDIF(K130,N130,"m"),"未完成"),"学员")</f>
        <v>未完成</v>
      </c>
      <c r="N130" s="35"/>
      <c r="O130" s="58" t="str">
        <f t="shared" ref="O130:O149" si="72">IF($I130&gt;0,IF(Q130&gt;0,DATEDIF(I130,Q130,"m"),"未完成"),"学员")</f>
        <v>未完成</v>
      </c>
      <c r="P130" s="58" t="str">
        <f t="shared" ref="P130:P149" si="73">IF($I130&gt;0,IF(Q130&gt;0,DATEDIF(N130,Q130,"m"),"未完成"),"学员")</f>
        <v>未完成</v>
      </c>
      <c r="Q130" s="35"/>
      <c r="R130" s="35"/>
      <c r="S130" s="35" t="str">
        <f t="shared" ref="S130:S149" si="74">IF($I130&gt;0,IF(T130&gt;0,DATEDIF(I130,T130,"m"),"未完成"),"学员")</f>
        <v>未完成</v>
      </c>
      <c r="T130" s="35"/>
      <c r="U130" s="35" t="str">
        <f t="shared" ref="U130:U149" si="75">IF($I130&gt;0,IF(V130&gt;0,DATEDIF(I130,V130,"m"),"未完成"),"学员")</f>
        <v>未完成</v>
      </c>
      <c r="V130" s="61"/>
      <c r="W130" s="35" t="str">
        <f t="shared" ref="W130:W149" si="76">IF($I130&gt;0,IF(X130&gt;0,DATEDIF(I130,X130,"m"),"未完成"),"学员")</f>
        <v>未完成</v>
      </c>
      <c r="X130" s="61"/>
      <c r="Y130" s="62">
        <f ca="1" t="shared" ref="Y130:Y149" si="77">AA130+AC130+AE130+AH130+AJ130+AM130+AP130+AS130+AW130+AX130+AY130+AU130</f>
        <v>20</v>
      </c>
      <c r="Z130" s="58" t="s">
        <v>75</v>
      </c>
      <c r="AA130" s="35">
        <f t="shared" ref="AA130:AA149" si="78">IF(Z130="是",5,0)</f>
        <v>5</v>
      </c>
      <c r="AB130" s="58" t="s">
        <v>75</v>
      </c>
      <c r="AC130" s="35">
        <f t="shared" ref="AC130:AC149" si="79">IF(AB130="是",10,0)</f>
        <v>10</v>
      </c>
      <c r="AD130" s="58" t="s">
        <v>75</v>
      </c>
      <c r="AE130" s="35">
        <f t="shared" ref="AE130:AE149" si="80">IF(AD130="是",5,0)</f>
        <v>5</v>
      </c>
      <c r="AF130" s="63">
        <f t="shared" ref="AF130:AF149" si="81">COUNTA(K130,N130,Q130,R130)*10</f>
        <v>0</v>
      </c>
      <c r="AG130" s="64">
        <f ca="1" t="shared" ref="AG130:AG149" si="82">IF(N130&gt;0,DATEDIF(N130,TODAY(),"m"),0)</f>
        <v>0</v>
      </c>
      <c r="AH130" s="35">
        <f ca="1" t="shared" ref="AH130:AH149" si="83">AG130*3</f>
        <v>0</v>
      </c>
      <c r="AI130" s="64">
        <f ca="1" t="shared" ref="AI130:AI149" si="84">IF(Q130&gt;0,DATEDIF(Q130,TODAY(),"m"),0)</f>
        <v>0</v>
      </c>
      <c r="AJ130" s="35">
        <f ca="1" t="shared" ref="AJ130:AJ149" si="85">AI130*6</f>
        <v>0</v>
      </c>
      <c r="AK130" s="35">
        <f t="shared" ref="AK130:AK149" si="86">IF(T130&gt;0,10,0)</f>
        <v>0</v>
      </c>
      <c r="AL130" s="64">
        <f ca="1" t="shared" ref="AL130:AL149" si="87">IF(T130&gt;0,DATEDIF(T130,TODAY(),"m"),0)</f>
        <v>0</v>
      </c>
      <c r="AM130" s="35">
        <f ca="1" t="shared" ref="AM130:AM149" si="88">AL130*6</f>
        <v>0</v>
      </c>
      <c r="AN130" s="35">
        <f t="shared" ref="AN130:AN149" si="89">IF(V130&gt;0,10,0)</f>
        <v>0</v>
      </c>
      <c r="AO130" s="64">
        <f ca="1" t="shared" ref="AO130:AO149" si="90">IF(V130&gt;0,DATEDIF(V130,TODAY(),"m"),0)</f>
        <v>0</v>
      </c>
      <c r="AP130" s="35">
        <f ca="1" t="shared" ref="AP130:AP149" si="91">AO130*6</f>
        <v>0</v>
      </c>
      <c r="AQ130" s="35">
        <f t="shared" ref="AQ130:AQ149" si="92">IF(X130&gt;0,10,0)</f>
        <v>0</v>
      </c>
      <c r="AR130" s="64">
        <f ca="1" t="shared" ref="AR130:AR149" si="93">IF(X130&gt;0,DATEDIF(X130,TODAY(),"m"),0)</f>
        <v>0</v>
      </c>
      <c r="AS130" s="35">
        <f ca="1" t="shared" ref="AS130:AS149" si="94">AR130*6</f>
        <v>0</v>
      </c>
      <c r="AT130" s="65">
        <f>VLOOKUP(B130,经历时间!A:B,2,FALSE)</f>
        <v>710.03</v>
      </c>
      <c r="AU130" s="67">
        <f t="shared" ref="AU130:AU149" si="95">IF(Q130&gt;0,AT130*0.1,0)</f>
        <v>0</v>
      </c>
      <c r="AV130" s="35">
        <f ca="1" t="shared" si="64"/>
        <v>3</v>
      </c>
      <c r="AW130" s="24">
        <v>0</v>
      </c>
      <c r="AX130" s="35"/>
      <c r="AY130" s="24">
        <f ca="1">IFERROR(VLOOKUP(B130,'兼职+帮忙'!B:AF,28,FALSE),0)</f>
        <v>0</v>
      </c>
      <c r="AZ130" s="35"/>
    </row>
    <row r="131" ht="15.6" customHeight="1" spans="1:52">
      <c r="A131" s="15">
        <v>280074</v>
      </c>
      <c r="B131" s="15" t="s">
        <v>212</v>
      </c>
      <c r="C131" s="35" t="str">
        <f>VLOOKUP(B131,'姓名+分部'!A:B,2,FALSE)</f>
        <v>二分部</v>
      </c>
      <c r="D131" s="35" t="s">
        <v>40</v>
      </c>
      <c r="E131" s="58" t="str">
        <f ca="1" t="shared" si="66"/>
        <v>无排名</v>
      </c>
      <c r="F131" s="35" t="str">
        <f ca="1" t="shared" si="67"/>
        <v>继续培训</v>
      </c>
      <c r="G131" s="35" t="str">
        <f t="shared" si="65"/>
        <v>A2</v>
      </c>
      <c r="H131" s="59">
        <f t="shared" si="68"/>
        <v>46032</v>
      </c>
      <c r="I131" s="60">
        <v>45912</v>
      </c>
      <c r="J131" s="35" t="str">
        <f t="shared" si="69"/>
        <v>未完成</v>
      </c>
      <c r="K131" s="35"/>
      <c r="L131" s="58" t="str">
        <f t="shared" si="70"/>
        <v>未完成</v>
      </c>
      <c r="M131" s="58" t="str">
        <f t="shared" si="71"/>
        <v>未完成</v>
      </c>
      <c r="N131" s="35"/>
      <c r="O131" s="58" t="str">
        <f t="shared" si="72"/>
        <v>未完成</v>
      </c>
      <c r="P131" s="58" t="str">
        <f t="shared" si="73"/>
        <v>未完成</v>
      </c>
      <c r="Q131" s="35"/>
      <c r="R131" s="35"/>
      <c r="S131" s="35" t="str">
        <f t="shared" si="74"/>
        <v>未完成</v>
      </c>
      <c r="T131" s="35"/>
      <c r="U131" s="35" t="str">
        <f t="shared" si="75"/>
        <v>未完成</v>
      </c>
      <c r="V131" s="61"/>
      <c r="W131" s="35" t="str">
        <f t="shared" si="76"/>
        <v>未完成</v>
      </c>
      <c r="X131" s="61"/>
      <c r="Y131" s="62">
        <f ca="1" t="shared" si="77"/>
        <v>20</v>
      </c>
      <c r="Z131" s="58" t="s">
        <v>75</v>
      </c>
      <c r="AA131" s="35">
        <f t="shared" si="78"/>
        <v>5</v>
      </c>
      <c r="AB131" s="58" t="s">
        <v>75</v>
      </c>
      <c r="AC131" s="35">
        <f t="shared" si="79"/>
        <v>10</v>
      </c>
      <c r="AD131" s="58" t="s">
        <v>75</v>
      </c>
      <c r="AE131" s="35">
        <f t="shared" si="80"/>
        <v>5</v>
      </c>
      <c r="AF131" s="63">
        <f t="shared" si="81"/>
        <v>0</v>
      </c>
      <c r="AG131" s="64">
        <f ca="1" t="shared" si="82"/>
        <v>0</v>
      </c>
      <c r="AH131" s="35">
        <f ca="1" t="shared" si="83"/>
        <v>0</v>
      </c>
      <c r="AI131" s="64">
        <f ca="1" t="shared" si="84"/>
        <v>0</v>
      </c>
      <c r="AJ131" s="35">
        <f ca="1" t="shared" si="85"/>
        <v>0</v>
      </c>
      <c r="AK131" s="35">
        <f t="shared" si="86"/>
        <v>0</v>
      </c>
      <c r="AL131" s="64">
        <f ca="1" t="shared" si="87"/>
        <v>0</v>
      </c>
      <c r="AM131" s="35">
        <f ca="1" t="shared" si="88"/>
        <v>0</v>
      </c>
      <c r="AN131" s="35">
        <f t="shared" si="89"/>
        <v>0</v>
      </c>
      <c r="AO131" s="64">
        <f ca="1" t="shared" si="90"/>
        <v>0</v>
      </c>
      <c r="AP131" s="35">
        <f ca="1" t="shared" si="91"/>
        <v>0</v>
      </c>
      <c r="AQ131" s="35">
        <f t="shared" si="92"/>
        <v>0</v>
      </c>
      <c r="AR131" s="64">
        <f ca="1" t="shared" si="93"/>
        <v>0</v>
      </c>
      <c r="AS131" s="35">
        <f ca="1" t="shared" si="94"/>
        <v>0</v>
      </c>
      <c r="AT131" s="65">
        <f>VLOOKUP(B131,经历时间!A:B,2,FALSE)</f>
        <v>828.59</v>
      </c>
      <c r="AU131" s="67">
        <f t="shared" si="95"/>
        <v>0</v>
      </c>
      <c r="AV131" s="35">
        <f ca="1" t="shared" si="64"/>
        <v>4</v>
      </c>
      <c r="AW131" s="24">
        <v>0</v>
      </c>
      <c r="AX131" s="35"/>
      <c r="AY131" s="24">
        <f ca="1">IFERROR(VLOOKUP(B131,'兼职+帮忙'!B:AF,28,FALSE),0)</f>
        <v>0</v>
      </c>
      <c r="AZ131" s="35"/>
    </row>
    <row r="132" ht="15.6" customHeight="1" spans="1:52">
      <c r="A132" s="15">
        <v>278747</v>
      </c>
      <c r="B132" s="15" t="s">
        <v>213</v>
      </c>
      <c r="C132" s="35" t="str">
        <f>VLOOKUP(B132,'姓名+分部'!A:B,2,FALSE)</f>
        <v>三分部</v>
      </c>
      <c r="D132" s="35" t="s">
        <v>45</v>
      </c>
      <c r="E132" s="58" t="str">
        <f ca="1" t="shared" si="66"/>
        <v>无排名</v>
      </c>
      <c r="F132" s="35" t="str">
        <f ca="1" t="shared" si="67"/>
        <v>继续培训</v>
      </c>
      <c r="G132" s="35" t="str">
        <f t="shared" si="65"/>
        <v>A2</v>
      </c>
      <c r="H132" s="59">
        <f t="shared" si="68"/>
        <v>46003</v>
      </c>
      <c r="I132" s="60">
        <v>45883</v>
      </c>
      <c r="J132" s="35" t="str">
        <f t="shared" si="69"/>
        <v>未完成</v>
      </c>
      <c r="K132" s="35"/>
      <c r="L132" s="58" t="str">
        <f t="shared" si="70"/>
        <v>未完成</v>
      </c>
      <c r="M132" s="58" t="str">
        <f t="shared" si="71"/>
        <v>未完成</v>
      </c>
      <c r="N132" s="35"/>
      <c r="O132" s="58" t="str">
        <f t="shared" si="72"/>
        <v>未完成</v>
      </c>
      <c r="P132" s="58" t="str">
        <f t="shared" si="73"/>
        <v>未完成</v>
      </c>
      <c r="Q132" s="35"/>
      <c r="R132" s="35"/>
      <c r="S132" s="35" t="str">
        <f t="shared" si="74"/>
        <v>未完成</v>
      </c>
      <c r="T132" s="35"/>
      <c r="U132" s="35" t="str">
        <f t="shared" si="75"/>
        <v>未完成</v>
      </c>
      <c r="V132" s="61"/>
      <c r="W132" s="35" t="str">
        <f t="shared" si="76"/>
        <v>未完成</v>
      </c>
      <c r="X132" s="61"/>
      <c r="Y132" s="62">
        <f ca="1" t="shared" si="77"/>
        <v>20</v>
      </c>
      <c r="Z132" s="58" t="s">
        <v>75</v>
      </c>
      <c r="AA132" s="35">
        <f t="shared" si="78"/>
        <v>5</v>
      </c>
      <c r="AB132" s="58" t="s">
        <v>75</v>
      </c>
      <c r="AC132" s="35">
        <f t="shared" si="79"/>
        <v>10</v>
      </c>
      <c r="AD132" s="58" t="s">
        <v>75</v>
      </c>
      <c r="AE132" s="35">
        <f t="shared" si="80"/>
        <v>5</v>
      </c>
      <c r="AF132" s="63">
        <f t="shared" si="81"/>
        <v>0</v>
      </c>
      <c r="AG132" s="64">
        <f ca="1" t="shared" si="82"/>
        <v>0</v>
      </c>
      <c r="AH132" s="35">
        <f ca="1" t="shared" si="83"/>
        <v>0</v>
      </c>
      <c r="AI132" s="64">
        <f ca="1" t="shared" si="84"/>
        <v>0</v>
      </c>
      <c r="AJ132" s="35">
        <f ca="1" t="shared" si="85"/>
        <v>0</v>
      </c>
      <c r="AK132" s="35">
        <f t="shared" si="86"/>
        <v>0</v>
      </c>
      <c r="AL132" s="64">
        <f ca="1" t="shared" si="87"/>
        <v>0</v>
      </c>
      <c r="AM132" s="35">
        <f ca="1" t="shared" si="88"/>
        <v>0</v>
      </c>
      <c r="AN132" s="35">
        <f t="shared" si="89"/>
        <v>0</v>
      </c>
      <c r="AO132" s="64">
        <f ca="1" t="shared" si="90"/>
        <v>0</v>
      </c>
      <c r="AP132" s="35">
        <f ca="1" t="shared" si="91"/>
        <v>0</v>
      </c>
      <c r="AQ132" s="35">
        <f t="shared" si="92"/>
        <v>0</v>
      </c>
      <c r="AR132" s="64">
        <f ca="1" t="shared" si="93"/>
        <v>0</v>
      </c>
      <c r="AS132" s="35">
        <f ca="1" t="shared" si="94"/>
        <v>0</v>
      </c>
      <c r="AT132" s="65">
        <f>VLOOKUP(B132,经历时间!A:B,2,FALSE)</f>
        <v>1320.58</v>
      </c>
      <c r="AU132" s="67">
        <f t="shared" si="95"/>
        <v>0</v>
      </c>
      <c r="AV132" s="35">
        <f ca="1" t="shared" si="64"/>
        <v>5</v>
      </c>
      <c r="AW132" s="24">
        <v>0</v>
      </c>
      <c r="AX132" s="35"/>
      <c r="AY132" s="24">
        <f ca="1">IFERROR(VLOOKUP(B132,'兼职+帮忙'!B:AF,28,FALSE),0)</f>
        <v>0</v>
      </c>
      <c r="AZ132" s="35"/>
    </row>
    <row r="133" ht="15.6" customHeight="1" spans="1:52">
      <c r="A133" s="15">
        <v>271929</v>
      </c>
      <c r="B133" s="15" t="s">
        <v>214</v>
      </c>
      <c r="C133" s="35" t="str">
        <f>VLOOKUP(B133,'姓名+分部'!A:B,2,FALSE)</f>
        <v>二分部</v>
      </c>
      <c r="D133" s="35" t="s">
        <v>45</v>
      </c>
      <c r="E133" s="58" t="str">
        <f ca="1" t="shared" si="66"/>
        <v>无排名</v>
      </c>
      <c r="F133" s="35" t="str">
        <f ca="1" t="shared" si="67"/>
        <v>继续培训</v>
      </c>
      <c r="G133" s="35" t="str">
        <f t="shared" si="65"/>
        <v>A2</v>
      </c>
      <c r="H133" s="59">
        <f t="shared" si="68"/>
        <v>46003</v>
      </c>
      <c r="I133" s="60">
        <v>45883</v>
      </c>
      <c r="J133" s="35" t="str">
        <f t="shared" si="69"/>
        <v>未完成</v>
      </c>
      <c r="K133" s="35"/>
      <c r="L133" s="58" t="str">
        <f t="shared" si="70"/>
        <v>未完成</v>
      </c>
      <c r="M133" s="58" t="str">
        <f t="shared" si="71"/>
        <v>未完成</v>
      </c>
      <c r="N133" s="35"/>
      <c r="O133" s="58" t="str">
        <f t="shared" si="72"/>
        <v>未完成</v>
      </c>
      <c r="P133" s="58" t="str">
        <f t="shared" si="73"/>
        <v>未完成</v>
      </c>
      <c r="Q133" s="35"/>
      <c r="R133" s="35"/>
      <c r="S133" s="35" t="str">
        <f t="shared" si="74"/>
        <v>未完成</v>
      </c>
      <c r="T133" s="35"/>
      <c r="U133" s="35" t="str">
        <f t="shared" si="75"/>
        <v>未完成</v>
      </c>
      <c r="V133" s="61"/>
      <c r="W133" s="35" t="str">
        <f t="shared" si="76"/>
        <v>未完成</v>
      </c>
      <c r="X133" s="61"/>
      <c r="Y133" s="62">
        <f ca="1" t="shared" si="77"/>
        <v>20</v>
      </c>
      <c r="Z133" s="58" t="s">
        <v>75</v>
      </c>
      <c r="AA133" s="35">
        <f t="shared" si="78"/>
        <v>5</v>
      </c>
      <c r="AB133" s="58" t="s">
        <v>75</v>
      </c>
      <c r="AC133" s="35">
        <f t="shared" si="79"/>
        <v>10</v>
      </c>
      <c r="AD133" s="58" t="s">
        <v>75</v>
      </c>
      <c r="AE133" s="35">
        <f t="shared" si="80"/>
        <v>5</v>
      </c>
      <c r="AF133" s="63">
        <f t="shared" si="81"/>
        <v>0</v>
      </c>
      <c r="AG133" s="64">
        <f ca="1" t="shared" si="82"/>
        <v>0</v>
      </c>
      <c r="AH133" s="35">
        <f ca="1" t="shared" si="83"/>
        <v>0</v>
      </c>
      <c r="AI133" s="64">
        <f ca="1" t="shared" si="84"/>
        <v>0</v>
      </c>
      <c r="AJ133" s="35">
        <f ca="1" t="shared" si="85"/>
        <v>0</v>
      </c>
      <c r="AK133" s="35">
        <f t="shared" si="86"/>
        <v>0</v>
      </c>
      <c r="AL133" s="64">
        <f ca="1" t="shared" si="87"/>
        <v>0</v>
      </c>
      <c r="AM133" s="35">
        <f ca="1" t="shared" si="88"/>
        <v>0</v>
      </c>
      <c r="AN133" s="35">
        <f t="shared" si="89"/>
        <v>0</v>
      </c>
      <c r="AO133" s="64">
        <f ca="1" t="shared" si="90"/>
        <v>0</v>
      </c>
      <c r="AP133" s="35">
        <f ca="1" t="shared" si="91"/>
        <v>0</v>
      </c>
      <c r="AQ133" s="35">
        <f t="shared" si="92"/>
        <v>0</v>
      </c>
      <c r="AR133" s="64">
        <f ca="1" t="shared" si="93"/>
        <v>0</v>
      </c>
      <c r="AS133" s="35">
        <f ca="1" t="shared" si="94"/>
        <v>0</v>
      </c>
      <c r="AT133" s="65">
        <f>VLOOKUP(B133,经历时间!A:B,2,FALSE)</f>
        <v>1133.58</v>
      </c>
      <c r="AU133" s="67">
        <f t="shared" si="95"/>
        <v>0</v>
      </c>
      <c r="AV133" s="35">
        <f ca="1" t="shared" si="64"/>
        <v>5</v>
      </c>
      <c r="AW133" s="24">
        <v>0</v>
      </c>
      <c r="AX133" s="35"/>
      <c r="AY133" s="24">
        <f ca="1">IFERROR(VLOOKUP(B133,'兼职+帮忙'!B:AF,28,FALSE),0)</f>
        <v>0</v>
      </c>
      <c r="AZ133" s="35"/>
    </row>
    <row r="134" ht="15.6" spans="1:52">
      <c r="A134" s="76">
        <v>273291</v>
      </c>
      <c r="B134" s="77" t="s">
        <v>215</v>
      </c>
      <c r="C134" s="78" t="s">
        <v>216</v>
      </c>
      <c r="D134" s="35"/>
      <c r="E134" s="58" t="str">
        <f ca="1" t="shared" si="66"/>
        <v>无排名</v>
      </c>
      <c r="F134" s="35" t="str">
        <f ca="1" t="shared" si="67"/>
        <v>继续培训</v>
      </c>
      <c r="G134" s="35" t="str">
        <f t="shared" si="65"/>
        <v>学员</v>
      </c>
      <c r="H134" s="59" t="e">
        <f t="shared" si="68"/>
        <v>#N/A</v>
      </c>
      <c r="I134" s="60"/>
      <c r="J134" s="35" t="str">
        <f t="shared" si="69"/>
        <v>学员</v>
      </c>
      <c r="K134" s="35"/>
      <c r="L134" s="58" t="str">
        <f t="shared" si="70"/>
        <v>学员</v>
      </c>
      <c r="M134" s="58" t="str">
        <f t="shared" si="71"/>
        <v>学员</v>
      </c>
      <c r="N134" s="35"/>
      <c r="O134" s="58" t="str">
        <f t="shared" si="72"/>
        <v>学员</v>
      </c>
      <c r="P134" s="58" t="str">
        <f t="shared" si="73"/>
        <v>学员</v>
      </c>
      <c r="Q134" s="35"/>
      <c r="R134" s="35"/>
      <c r="S134" s="35" t="str">
        <f t="shared" si="74"/>
        <v>学员</v>
      </c>
      <c r="T134" s="35"/>
      <c r="U134" s="35" t="str">
        <f t="shared" si="75"/>
        <v>学员</v>
      </c>
      <c r="V134" s="61"/>
      <c r="W134" s="35" t="str">
        <f t="shared" si="76"/>
        <v>学员</v>
      </c>
      <c r="X134" s="61"/>
      <c r="Y134" s="62">
        <f ca="1" t="shared" si="77"/>
        <v>0</v>
      </c>
      <c r="Z134" s="58"/>
      <c r="AA134" s="35">
        <f t="shared" si="78"/>
        <v>0</v>
      </c>
      <c r="AB134" s="58"/>
      <c r="AC134" s="35">
        <f t="shared" si="79"/>
        <v>0</v>
      </c>
      <c r="AD134" s="58"/>
      <c r="AE134" s="35">
        <f t="shared" si="80"/>
        <v>0</v>
      </c>
      <c r="AF134" s="63">
        <f t="shared" si="81"/>
        <v>0</v>
      </c>
      <c r="AG134" s="64">
        <f ca="1" t="shared" si="82"/>
        <v>0</v>
      </c>
      <c r="AH134" s="35">
        <f ca="1" t="shared" si="83"/>
        <v>0</v>
      </c>
      <c r="AI134" s="64">
        <f ca="1" t="shared" si="84"/>
        <v>0</v>
      </c>
      <c r="AJ134" s="35">
        <f ca="1" t="shared" si="85"/>
        <v>0</v>
      </c>
      <c r="AK134" s="35">
        <f t="shared" si="86"/>
        <v>0</v>
      </c>
      <c r="AL134" s="64">
        <f ca="1" t="shared" si="87"/>
        <v>0</v>
      </c>
      <c r="AM134" s="35">
        <f ca="1" t="shared" si="88"/>
        <v>0</v>
      </c>
      <c r="AN134" s="35">
        <f t="shared" si="89"/>
        <v>0</v>
      </c>
      <c r="AO134" s="64">
        <f ca="1" t="shared" si="90"/>
        <v>0</v>
      </c>
      <c r="AP134" s="35">
        <f ca="1" t="shared" si="91"/>
        <v>0</v>
      </c>
      <c r="AQ134" s="35">
        <f t="shared" si="92"/>
        <v>0</v>
      </c>
      <c r="AR134" s="64">
        <f ca="1" t="shared" si="93"/>
        <v>0</v>
      </c>
      <c r="AS134" s="35">
        <f ca="1" t="shared" si="94"/>
        <v>0</v>
      </c>
      <c r="AT134" s="65">
        <f>VLOOKUP(B134,经历时间!A:B,2,FALSE)</f>
        <v>1401.3</v>
      </c>
      <c r="AU134" s="67">
        <f t="shared" si="95"/>
        <v>0</v>
      </c>
      <c r="AV134" s="35">
        <f ca="1" t="shared" si="64"/>
        <v>0</v>
      </c>
      <c r="AW134" s="24"/>
      <c r="AX134" s="35"/>
      <c r="AY134" s="24">
        <f ca="1">IFERROR(VLOOKUP(B134,'兼职+帮忙'!B:AF,28,FALSE),0)</f>
        <v>0</v>
      </c>
      <c r="AZ134" s="35"/>
    </row>
    <row r="135" ht="15.6" spans="1:52">
      <c r="A135" s="76">
        <v>271948</v>
      </c>
      <c r="B135" s="77" t="s">
        <v>217</v>
      </c>
      <c r="C135" s="78" t="s">
        <v>218</v>
      </c>
      <c r="D135" s="35"/>
      <c r="E135" s="58" t="str">
        <f ca="1" t="shared" si="66"/>
        <v>无排名</v>
      </c>
      <c r="F135" s="35" t="str">
        <f ca="1" t="shared" si="67"/>
        <v>继续培训</v>
      </c>
      <c r="G135" s="35" t="str">
        <f t="shared" si="65"/>
        <v>学员</v>
      </c>
      <c r="H135" s="59" t="e">
        <f t="shared" si="68"/>
        <v>#N/A</v>
      </c>
      <c r="I135" s="60"/>
      <c r="J135" s="35" t="str">
        <f t="shared" si="69"/>
        <v>学员</v>
      </c>
      <c r="K135" s="35"/>
      <c r="L135" s="58" t="str">
        <f t="shared" si="70"/>
        <v>学员</v>
      </c>
      <c r="M135" s="58" t="str">
        <f t="shared" si="71"/>
        <v>学员</v>
      </c>
      <c r="N135" s="35"/>
      <c r="O135" s="58" t="str">
        <f t="shared" si="72"/>
        <v>学员</v>
      </c>
      <c r="P135" s="58" t="str">
        <f t="shared" si="73"/>
        <v>学员</v>
      </c>
      <c r="Q135" s="35"/>
      <c r="R135" s="35"/>
      <c r="S135" s="35" t="str">
        <f t="shared" si="74"/>
        <v>学员</v>
      </c>
      <c r="T135" s="35"/>
      <c r="U135" s="35" t="str">
        <f t="shared" si="75"/>
        <v>学员</v>
      </c>
      <c r="V135" s="61"/>
      <c r="W135" s="35" t="str">
        <f t="shared" si="76"/>
        <v>学员</v>
      </c>
      <c r="X135" s="61"/>
      <c r="Y135" s="62">
        <f ca="1" t="shared" si="77"/>
        <v>0</v>
      </c>
      <c r="Z135" s="58"/>
      <c r="AA135" s="35">
        <f t="shared" si="78"/>
        <v>0</v>
      </c>
      <c r="AB135" s="58"/>
      <c r="AC135" s="35">
        <f t="shared" si="79"/>
        <v>0</v>
      </c>
      <c r="AD135" s="58"/>
      <c r="AE135" s="35">
        <f t="shared" si="80"/>
        <v>0</v>
      </c>
      <c r="AF135" s="63">
        <f t="shared" si="81"/>
        <v>0</v>
      </c>
      <c r="AG135" s="64">
        <f ca="1" t="shared" si="82"/>
        <v>0</v>
      </c>
      <c r="AH135" s="35">
        <f ca="1" t="shared" si="83"/>
        <v>0</v>
      </c>
      <c r="AI135" s="64">
        <f ca="1" t="shared" si="84"/>
        <v>0</v>
      </c>
      <c r="AJ135" s="35">
        <f ca="1" t="shared" si="85"/>
        <v>0</v>
      </c>
      <c r="AK135" s="35">
        <f t="shared" si="86"/>
        <v>0</v>
      </c>
      <c r="AL135" s="64">
        <f ca="1" t="shared" si="87"/>
        <v>0</v>
      </c>
      <c r="AM135" s="35">
        <f ca="1" t="shared" si="88"/>
        <v>0</v>
      </c>
      <c r="AN135" s="35">
        <f t="shared" si="89"/>
        <v>0</v>
      </c>
      <c r="AO135" s="64">
        <f ca="1" t="shared" si="90"/>
        <v>0</v>
      </c>
      <c r="AP135" s="35">
        <f ca="1" t="shared" si="91"/>
        <v>0</v>
      </c>
      <c r="AQ135" s="35">
        <f t="shared" si="92"/>
        <v>0</v>
      </c>
      <c r="AR135" s="64">
        <f ca="1" t="shared" si="93"/>
        <v>0</v>
      </c>
      <c r="AS135" s="35">
        <f ca="1" t="shared" si="94"/>
        <v>0</v>
      </c>
      <c r="AT135" s="65">
        <f>VLOOKUP(B135,经历时间!A:B,2,FALSE)</f>
        <v>1105.22</v>
      </c>
      <c r="AU135" s="67">
        <f t="shared" si="95"/>
        <v>0</v>
      </c>
      <c r="AV135" s="35">
        <f ca="1" t="shared" si="64"/>
        <v>0</v>
      </c>
      <c r="AW135" s="24"/>
      <c r="AX135" s="35"/>
      <c r="AY135" s="24">
        <f ca="1">IFERROR(VLOOKUP(B135,'兼职+帮忙'!B:AF,28,FALSE),0)</f>
        <v>0</v>
      </c>
      <c r="AZ135" s="35"/>
    </row>
    <row r="136" ht="15.6" spans="1:52">
      <c r="A136" s="76">
        <v>273295</v>
      </c>
      <c r="B136" s="77" t="s">
        <v>219</v>
      </c>
      <c r="C136" s="78" t="s">
        <v>218</v>
      </c>
      <c r="D136" s="35"/>
      <c r="E136" s="58" t="str">
        <f ca="1" t="shared" si="66"/>
        <v>无排名</v>
      </c>
      <c r="F136" s="35" t="str">
        <f ca="1" t="shared" si="67"/>
        <v>继续培训</v>
      </c>
      <c r="G136" s="35" t="str">
        <f t="shared" si="65"/>
        <v>学员</v>
      </c>
      <c r="H136" s="59" t="e">
        <f t="shared" si="68"/>
        <v>#N/A</v>
      </c>
      <c r="I136" s="60"/>
      <c r="J136" s="35" t="str">
        <f t="shared" si="69"/>
        <v>学员</v>
      </c>
      <c r="K136" s="35"/>
      <c r="L136" s="58" t="str">
        <f t="shared" si="70"/>
        <v>学员</v>
      </c>
      <c r="M136" s="58" t="str">
        <f t="shared" si="71"/>
        <v>学员</v>
      </c>
      <c r="N136" s="35"/>
      <c r="O136" s="58" t="str">
        <f t="shared" si="72"/>
        <v>学员</v>
      </c>
      <c r="P136" s="58" t="str">
        <f t="shared" si="73"/>
        <v>学员</v>
      </c>
      <c r="Q136" s="35"/>
      <c r="R136" s="35"/>
      <c r="S136" s="35" t="str">
        <f t="shared" si="74"/>
        <v>学员</v>
      </c>
      <c r="T136" s="35"/>
      <c r="U136" s="35" t="str">
        <f t="shared" si="75"/>
        <v>学员</v>
      </c>
      <c r="V136" s="61"/>
      <c r="W136" s="35" t="str">
        <f t="shared" si="76"/>
        <v>学员</v>
      </c>
      <c r="X136" s="61"/>
      <c r="Y136" s="62">
        <f ca="1" t="shared" si="77"/>
        <v>0</v>
      </c>
      <c r="Z136" s="58"/>
      <c r="AA136" s="35">
        <f t="shared" si="78"/>
        <v>0</v>
      </c>
      <c r="AB136" s="58"/>
      <c r="AC136" s="35">
        <f t="shared" si="79"/>
        <v>0</v>
      </c>
      <c r="AD136" s="58"/>
      <c r="AE136" s="35">
        <f t="shared" si="80"/>
        <v>0</v>
      </c>
      <c r="AF136" s="63">
        <f t="shared" si="81"/>
        <v>0</v>
      </c>
      <c r="AG136" s="64">
        <f ca="1" t="shared" si="82"/>
        <v>0</v>
      </c>
      <c r="AH136" s="35">
        <f ca="1" t="shared" si="83"/>
        <v>0</v>
      </c>
      <c r="AI136" s="64">
        <f ca="1" t="shared" si="84"/>
        <v>0</v>
      </c>
      <c r="AJ136" s="35">
        <f ca="1" t="shared" si="85"/>
        <v>0</v>
      </c>
      <c r="AK136" s="35">
        <f t="shared" si="86"/>
        <v>0</v>
      </c>
      <c r="AL136" s="64">
        <f ca="1" t="shared" si="87"/>
        <v>0</v>
      </c>
      <c r="AM136" s="35">
        <f ca="1" t="shared" si="88"/>
        <v>0</v>
      </c>
      <c r="AN136" s="35">
        <f t="shared" si="89"/>
        <v>0</v>
      </c>
      <c r="AO136" s="64">
        <f ca="1" t="shared" si="90"/>
        <v>0</v>
      </c>
      <c r="AP136" s="35">
        <f ca="1" t="shared" si="91"/>
        <v>0</v>
      </c>
      <c r="AQ136" s="35">
        <f t="shared" si="92"/>
        <v>0</v>
      </c>
      <c r="AR136" s="64">
        <f ca="1" t="shared" si="93"/>
        <v>0</v>
      </c>
      <c r="AS136" s="35">
        <f ca="1" t="shared" si="94"/>
        <v>0</v>
      </c>
      <c r="AT136" s="65">
        <f>VLOOKUP(B136,经历时间!A:B,2,FALSE)</f>
        <v>1124.34</v>
      </c>
      <c r="AU136" s="67">
        <f t="shared" si="95"/>
        <v>0</v>
      </c>
      <c r="AV136" s="35">
        <f ca="1" t="shared" si="64"/>
        <v>0</v>
      </c>
      <c r="AW136" s="24"/>
      <c r="AX136" s="35"/>
      <c r="AY136" s="24">
        <f ca="1">IFERROR(VLOOKUP(B136,'兼职+帮忙'!B:AF,28,FALSE),0)</f>
        <v>0</v>
      </c>
      <c r="AZ136" s="35"/>
    </row>
    <row r="137" ht="15.6" spans="1:52">
      <c r="A137" s="76">
        <v>276712</v>
      </c>
      <c r="B137" s="77" t="s">
        <v>220</v>
      </c>
      <c r="C137" s="78" t="s">
        <v>216</v>
      </c>
      <c r="D137" s="35" t="s">
        <v>40</v>
      </c>
      <c r="E137" s="58" t="str">
        <f ca="1" t="shared" si="66"/>
        <v>无排名</v>
      </c>
      <c r="F137" s="35" t="str">
        <f ca="1" t="shared" si="67"/>
        <v>继续培训</v>
      </c>
      <c r="G137" s="35" t="str">
        <f t="shared" si="65"/>
        <v>A2</v>
      </c>
      <c r="H137" s="59">
        <f t="shared" si="68"/>
        <v>46065</v>
      </c>
      <c r="I137" s="60">
        <v>45945</v>
      </c>
      <c r="J137" s="35" t="str">
        <f t="shared" si="69"/>
        <v>未完成</v>
      </c>
      <c r="K137" s="35"/>
      <c r="L137" s="58" t="str">
        <f t="shared" si="70"/>
        <v>未完成</v>
      </c>
      <c r="M137" s="58" t="str">
        <f t="shared" si="71"/>
        <v>未完成</v>
      </c>
      <c r="N137" s="35"/>
      <c r="O137" s="58" t="str">
        <f t="shared" si="72"/>
        <v>未完成</v>
      </c>
      <c r="P137" s="58" t="str">
        <f t="shared" si="73"/>
        <v>未完成</v>
      </c>
      <c r="Q137" s="35"/>
      <c r="R137" s="35"/>
      <c r="S137" s="35" t="str">
        <f t="shared" si="74"/>
        <v>未完成</v>
      </c>
      <c r="T137" s="35"/>
      <c r="U137" s="35" t="str">
        <f t="shared" si="75"/>
        <v>未完成</v>
      </c>
      <c r="V137" s="61"/>
      <c r="W137" s="35" t="str">
        <f t="shared" si="76"/>
        <v>未完成</v>
      </c>
      <c r="X137" s="61"/>
      <c r="Y137" s="62">
        <f ca="1" t="shared" si="77"/>
        <v>0</v>
      </c>
      <c r="Z137" s="58"/>
      <c r="AA137" s="35">
        <f t="shared" si="78"/>
        <v>0</v>
      </c>
      <c r="AB137" s="58"/>
      <c r="AC137" s="35">
        <f t="shared" si="79"/>
        <v>0</v>
      </c>
      <c r="AD137" s="58"/>
      <c r="AE137" s="35">
        <f t="shared" si="80"/>
        <v>0</v>
      </c>
      <c r="AF137" s="63">
        <f t="shared" si="81"/>
        <v>0</v>
      </c>
      <c r="AG137" s="64">
        <f ca="1" t="shared" si="82"/>
        <v>0</v>
      </c>
      <c r="AH137" s="35">
        <f ca="1" t="shared" si="83"/>
        <v>0</v>
      </c>
      <c r="AI137" s="64">
        <f ca="1" t="shared" si="84"/>
        <v>0</v>
      </c>
      <c r="AJ137" s="35">
        <f ca="1" t="shared" si="85"/>
        <v>0</v>
      </c>
      <c r="AK137" s="35">
        <f t="shared" si="86"/>
        <v>0</v>
      </c>
      <c r="AL137" s="64">
        <f ca="1" t="shared" si="87"/>
        <v>0</v>
      </c>
      <c r="AM137" s="35">
        <f ca="1" t="shared" si="88"/>
        <v>0</v>
      </c>
      <c r="AN137" s="35">
        <f t="shared" si="89"/>
        <v>0</v>
      </c>
      <c r="AO137" s="64">
        <f ca="1" t="shared" si="90"/>
        <v>0</v>
      </c>
      <c r="AP137" s="35">
        <f ca="1" t="shared" si="91"/>
        <v>0</v>
      </c>
      <c r="AQ137" s="35">
        <f t="shared" si="92"/>
        <v>0</v>
      </c>
      <c r="AR137" s="64">
        <f ca="1" t="shared" si="93"/>
        <v>0</v>
      </c>
      <c r="AS137" s="35">
        <f ca="1" t="shared" si="94"/>
        <v>0</v>
      </c>
      <c r="AT137" s="65">
        <f>VLOOKUP(B137,经历时间!A:B,2,FALSE)</f>
        <v>841.36</v>
      </c>
      <c r="AU137" s="67">
        <f t="shared" si="95"/>
        <v>0</v>
      </c>
      <c r="AV137" s="35">
        <f ca="1" t="shared" si="64"/>
        <v>3</v>
      </c>
      <c r="AW137" s="24"/>
      <c r="AX137" s="35"/>
      <c r="AY137" s="24">
        <f ca="1">IFERROR(VLOOKUP(B137,'兼职+帮忙'!B:AF,28,FALSE),0)</f>
        <v>0</v>
      </c>
      <c r="AZ137" s="35"/>
    </row>
    <row r="138" ht="15.6" spans="1:52">
      <c r="A138" s="76">
        <v>283833</v>
      </c>
      <c r="B138" s="77" t="s">
        <v>221</v>
      </c>
      <c r="C138" s="78" t="s">
        <v>218</v>
      </c>
      <c r="D138" s="35"/>
      <c r="E138" s="58" t="str">
        <f ca="1" t="shared" si="66"/>
        <v>无排名</v>
      </c>
      <c r="F138" s="35" t="str">
        <f ca="1" t="shared" si="67"/>
        <v>继续培训</v>
      </c>
      <c r="G138" s="35" t="str">
        <f t="shared" si="65"/>
        <v>学员</v>
      </c>
      <c r="H138" s="59" t="e">
        <f t="shared" si="68"/>
        <v>#N/A</v>
      </c>
      <c r="I138" s="60"/>
      <c r="J138" s="35" t="str">
        <f t="shared" si="69"/>
        <v>学员</v>
      </c>
      <c r="K138" s="35"/>
      <c r="L138" s="58" t="str">
        <f t="shared" si="70"/>
        <v>学员</v>
      </c>
      <c r="M138" s="58" t="str">
        <f t="shared" si="71"/>
        <v>学员</v>
      </c>
      <c r="N138" s="35"/>
      <c r="O138" s="58" t="str">
        <f t="shared" si="72"/>
        <v>学员</v>
      </c>
      <c r="P138" s="58" t="str">
        <f t="shared" si="73"/>
        <v>学员</v>
      </c>
      <c r="Q138" s="35"/>
      <c r="R138" s="35"/>
      <c r="S138" s="35" t="str">
        <f t="shared" si="74"/>
        <v>学员</v>
      </c>
      <c r="T138" s="35"/>
      <c r="U138" s="35" t="str">
        <f t="shared" si="75"/>
        <v>学员</v>
      </c>
      <c r="V138" s="61"/>
      <c r="W138" s="35" t="str">
        <f t="shared" si="76"/>
        <v>学员</v>
      </c>
      <c r="X138" s="61"/>
      <c r="Y138" s="62">
        <f ca="1" t="shared" si="77"/>
        <v>0</v>
      </c>
      <c r="Z138" s="58"/>
      <c r="AA138" s="35">
        <f t="shared" si="78"/>
        <v>0</v>
      </c>
      <c r="AB138" s="58"/>
      <c r="AC138" s="35">
        <f t="shared" si="79"/>
        <v>0</v>
      </c>
      <c r="AD138" s="58"/>
      <c r="AE138" s="35">
        <f t="shared" si="80"/>
        <v>0</v>
      </c>
      <c r="AF138" s="63">
        <f t="shared" si="81"/>
        <v>0</v>
      </c>
      <c r="AG138" s="64">
        <f ca="1" t="shared" si="82"/>
        <v>0</v>
      </c>
      <c r="AH138" s="35">
        <f ca="1" t="shared" si="83"/>
        <v>0</v>
      </c>
      <c r="AI138" s="64">
        <f ca="1" t="shared" si="84"/>
        <v>0</v>
      </c>
      <c r="AJ138" s="35">
        <f ca="1" t="shared" si="85"/>
        <v>0</v>
      </c>
      <c r="AK138" s="35">
        <f t="shared" si="86"/>
        <v>0</v>
      </c>
      <c r="AL138" s="64">
        <f ca="1" t="shared" si="87"/>
        <v>0</v>
      </c>
      <c r="AM138" s="35">
        <f ca="1" t="shared" si="88"/>
        <v>0</v>
      </c>
      <c r="AN138" s="35">
        <f t="shared" si="89"/>
        <v>0</v>
      </c>
      <c r="AO138" s="64">
        <f ca="1" t="shared" si="90"/>
        <v>0</v>
      </c>
      <c r="AP138" s="35">
        <f ca="1" t="shared" si="91"/>
        <v>0</v>
      </c>
      <c r="AQ138" s="35">
        <f t="shared" si="92"/>
        <v>0</v>
      </c>
      <c r="AR138" s="64">
        <f ca="1" t="shared" si="93"/>
        <v>0</v>
      </c>
      <c r="AS138" s="35">
        <f ca="1" t="shared" si="94"/>
        <v>0</v>
      </c>
      <c r="AT138" s="65">
        <f>VLOOKUP(B138,经历时间!A:B,2,FALSE)</f>
        <v>439.29</v>
      </c>
      <c r="AU138" s="67">
        <f t="shared" si="95"/>
        <v>0</v>
      </c>
      <c r="AV138" s="35">
        <f ca="1" t="shared" si="64"/>
        <v>0</v>
      </c>
      <c r="AW138" s="24"/>
      <c r="AX138" s="35"/>
      <c r="AY138" s="24">
        <f ca="1">IFERROR(VLOOKUP(B138,'兼职+帮忙'!B:AF,28,FALSE),0)</f>
        <v>0</v>
      </c>
      <c r="AZ138" s="35"/>
    </row>
    <row r="139" ht="15.6" spans="1:52">
      <c r="A139" s="76">
        <v>294086</v>
      </c>
      <c r="B139" s="77" t="s">
        <v>222</v>
      </c>
      <c r="C139" s="78" t="s">
        <v>216</v>
      </c>
      <c r="D139" s="35"/>
      <c r="E139" s="58" t="str">
        <f ca="1" t="shared" si="66"/>
        <v>无排名</v>
      </c>
      <c r="F139" s="35" t="str">
        <f ca="1" t="shared" si="67"/>
        <v>继续培训</v>
      </c>
      <c r="G139" s="35" t="str">
        <f t="shared" si="65"/>
        <v>学员</v>
      </c>
      <c r="H139" s="59" t="e">
        <f t="shared" si="68"/>
        <v>#N/A</v>
      </c>
      <c r="I139" s="60"/>
      <c r="J139" s="35" t="str">
        <f t="shared" si="69"/>
        <v>学员</v>
      </c>
      <c r="K139" s="35"/>
      <c r="L139" s="58" t="str">
        <f t="shared" si="70"/>
        <v>学员</v>
      </c>
      <c r="M139" s="58" t="str">
        <f t="shared" si="71"/>
        <v>学员</v>
      </c>
      <c r="N139" s="35"/>
      <c r="O139" s="58" t="str">
        <f t="shared" si="72"/>
        <v>学员</v>
      </c>
      <c r="P139" s="58" t="str">
        <f t="shared" si="73"/>
        <v>学员</v>
      </c>
      <c r="Q139" s="35"/>
      <c r="R139" s="35"/>
      <c r="S139" s="35" t="str">
        <f t="shared" si="74"/>
        <v>学员</v>
      </c>
      <c r="T139" s="35"/>
      <c r="U139" s="35" t="str">
        <f t="shared" si="75"/>
        <v>学员</v>
      </c>
      <c r="V139" s="61"/>
      <c r="W139" s="35" t="str">
        <f t="shared" si="76"/>
        <v>学员</v>
      </c>
      <c r="X139" s="61"/>
      <c r="Y139" s="62">
        <f ca="1" t="shared" si="77"/>
        <v>0</v>
      </c>
      <c r="Z139" s="58"/>
      <c r="AA139" s="35">
        <f t="shared" si="78"/>
        <v>0</v>
      </c>
      <c r="AB139" s="58"/>
      <c r="AC139" s="35">
        <f t="shared" si="79"/>
        <v>0</v>
      </c>
      <c r="AD139" s="58"/>
      <c r="AE139" s="35">
        <f t="shared" si="80"/>
        <v>0</v>
      </c>
      <c r="AF139" s="63">
        <f t="shared" si="81"/>
        <v>0</v>
      </c>
      <c r="AG139" s="64">
        <f ca="1" t="shared" si="82"/>
        <v>0</v>
      </c>
      <c r="AH139" s="35">
        <f ca="1" t="shared" si="83"/>
        <v>0</v>
      </c>
      <c r="AI139" s="64">
        <f ca="1" t="shared" si="84"/>
        <v>0</v>
      </c>
      <c r="AJ139" s="35">
        <f ca="1" t="shared" si="85"/>
        <v>0</v>
      </c>
      <c r="AK139" s="35">
        <f t="shared" si="86"/>
        <v>0</v>
      </c>
      <c r="AL139" s="64">
        <f ca="1" t="shared" si="87"/>
        <v>0</v>
      </c>
      <c r="AM139" s="35">
        <f ca="1" t="shared" si="88"/>
        <v>0</v>
      </c>
      <c r="AN139" s="35">
        <f t="shared" si="89"/>
        <v>0</v>
      </c>
      <c r="AO139" s="64">
        <f ca="1" t="shared" si="90"/>
        <v>0</v>
      </c>
      <c r="AP139" s="35">
        <f ca="1" t="shared" si="91"/>
        <v>0</v>
      </c>
      <c r="AQ139" s="35">
        <f t="shared" si="92"/>
        <v>0</v>
      </c>
      <c r="AR139" s="64">
        <f ca="1" t="shared" si="93"/>
        <v>0</v>
      </c>
      <c r="AS139" s="35">
        <f ca="1" t="shared" si="94"/>
        <v>0</v>
      </c>
      <c r="AT139" s="65">
        <f>VLOOKUP(B139,经历时间!A:B,2,FALSE)</f>
        <v>303.39</v>
      </c>
      <c r="AU139" s="67">
        <f t="shared" si="95"/>
        <v>0</v>
      </c>
      <c r="AV139" s="35">
        <f ca="1" t="shared" si="64"/>
        <v>0</v>
      </c>
      <c r="AW139" s="24"/>
      <c r="AX139" s="35"/>
      <c r="AY139" s="24">
        <f ca="1">IFERROR(VLOOKUP(B139,'兼职+帮忙'!B:AF,28,FALSE),0)</f>
        <v>0</v>
      </c>
      <c r="AZ139" s="35"/>
    </row>
    <row r="140" ht="15.6" spans="1:52">
      <c r="A140" s="76">
        <v>298124</v>
      </c>
      <c r="B140" s="77" t="s">
        <v>223</v>
      </c>
      <c r="C140" s="78" t="s">
        <v>216</v>
      </c>
      <c r="D140" s="35"/>
      <c r="E140" s="58" t="str">
        <f ca="1" t="shared" si="66"/>
        <v>无排名</v>
      </c>
      <c r="F140" s="35" t="str">
        <f ca="1" t="shared" si="67"/>
        <v>继续培训</v>
      </c>
      <c r="G140" s="35" t="str">
        <f t="shared" si="65"/>
        <v>学员</v>
      </c>
      <c r="H140" s="59" t="e">
        <f t="shared" si="68"/>
        <v>#N/A</v>
      </c>
      <c r="I140" s="60"/>
      <c r="J140" s="35" t="str">
        <f t="shared" si="69"/>
        <v>学员</v>
      </c>
      <c r="K140" s="35"/>
      <c r="L140" s="58" t="str">
        <f t="shared" si="70"/>
        <v>学员</v>
      </c>
      <c r="M140" s="58" t="str">
        <f t="shared" si="71"/>
        <v>学员</v>
      </c>
      <c r="N140" s="35"/>
      <c r="O140" s="58" t="str">
        <f t="shared" si="72"/>
        <v>学员</v>
      </c>
      <c r="P140" s="58" t="str">
        <f t="shared" si="73"/>
        <v>学员</v>
      </c>
      <c r="Q140" s="35"/>
      <c r="R140" s="35"/>
      <c r="S140" s="35" t="str">
        <f t="shared" si="74"/>
        <v>学员</v>
      </c>
      <c r="T140" s="35"/>
      <c r="U140" s="35" t="str">
        <f t="shared" si="75"/>
        <v>学员</v>
      </c>
      <c r="V140" s="61"/>
      <c r="W140" s="35" t="str">
        <f t="shared" si="76"/>
        <v>学员</v>
      </c>
      <c r="X140" s="61"/>
      <c r="Y140" s="62">
        <f ca="1" t="shared" si="77"/>
        <v>0</v>
      </c>
      <c r="Z140" s="58"/>
      <c r="AA140" s="35">
        <f t="shared" si="78"/>
        <v>0</v>
      </c>
      <c r="AB140" s="58"/>
      <c r="AC140" s="35">
        <f t="shared" si="79"/>
        <v>0</v>
      </c>
      <c r="AD140" s="58"/>
      <c r="AE140" s="35">
        <f t="shared" si="80"/>
        <v>0</v>
      </c>
      <c r="AF140" s="63">
        <f t="shared" si="81"/>
        <v>0</v>
      </c>
      <c r="AG140" s="64">
        <f ca="1" t="shared" si="82"/>
        <v>0</v>
      </c>
      <c r="AH140" s="35">
        <f ca="1" t="shared" si="83"/>
        <v>0</v>
      </c>
      <c r="AI140" s="64">
        <f ca="1" t="shared" si="84"/>
        <v>0</v>
      </c>
      <c r="AJ140" s="35">
        <f ca="1" t="shared" si="85"/>
        <v>0</v>
      </c>
      <c r="AK140" s="35">
        <f t="shared" si="86"/>
        <v>0</v>
      </c>
      <c r="AL140" s="64">
        <f ca="1" t="shared" si="87"/>
        <v>0</v>
      </c>
      <c r="AM140" s="35">
        <f ca="1" t="shared" si="88"/>
        <v>0</v>
      </c>
      <c r="AN140" s="35">
        <f t="shared" si="89"/>
        <v>0</v>
      </c>
      <c r="AO140" s="64">
        <f ca="1" t="shared" si="90"/>
        <v>0</v>
      </c>
      <c r="AP140" s="35">
        <f ca="1" t="shared" si="91"/>
        <v>0</v>
      </c>
      <c r="AQ140" s="35">
        <f t="shared" si="92"/>
        <v>0</v>
      </c>
      <c r="AR140" s="64">
        <f ca="1" t="shared" si="93"/>
        <v>0</v>
      </c>
      <c r="AS140" s="35">
        <f ca="1" t="shared" si="94"/>
        <v>0</v>
      </c>
      <c r="AT140" s="65">
        <f>VLOOKUP(B140,经历时间!A:B,2,FALSE)</f>
        <v>333.21</v>
      </c>
      <c r="AU140" s="67">
        <f t="shared" si="95"/>
        <v>0</v>
      </c>
      <c r="AV140" s="35">
        <f ca="1" t="shared" si="64"/>
        <v>0</v>
      </c>
      <c r="AW140" s="24"/>
      <c r="AX140" s="35"/>
      <c r="AY140" s="24">
        <f ca="1">IFERROR(VLOOKUP(B140,'兼职+帮忙'!B:AF,28,FALSE),0)</f>
        <v>0</v>
      </c>
      <c r="AZ140" s="35"/>
    </row>
    <row r="141" ht="15.6" spans="1:52">
      <c r="A141" s="76">
        <v>282686</v>
      </c>
      <c r="B141" s="77" t="s">
        <v>224</v>
      </c>
      <c r="C141" s="78" t="s">
        <v>216</v>
      </c>
      <c r="D141" s="35"/>
      <c r="E141" s="58" t="str">
        <f ca="1" t="shared" si="66"/>
        <v>无排名</v>
      </c>
      <c r="F141" s="35" t="str">
        <f ca="1" t="shared" si="67"/>
        <v>继续培训</v>
      </c>
      <c r="G141" s="35" t="str">
        <f t="shared" si="65"/>
        <v>学员</v>
      </c>
      <c r="H141" s="59" t="e">
        <f t="shared" si="68"/>
        <v>#N/A</v>
      </c>
      <c r="I141" s="60"/>
      <c r="J141" s="35" t="str">
        <f t="shared" si="69"/>
        <v>学员</v>
      </c>
      <c r="K141" s="35"/>
      <c r="L141" s="58" t="str">
        <f t="shared" si="70"/>
        <v>学员</v>
      </c>
      <c r="M141" s="58" t="str">
        <f t="shared" si="71"/>
        <v>学员</v>
      </c>
      <c r="N141" s="35"/>
      <c r="O141" s="58" t="str">
        <f t="shared" si="72"/>
        <v>学员</v>
      </c>
      <c r="P141" s="58" t="str">
        <f t="shared" si="73"/>
        <v>学员</v>
      </c>
      <c r="Q141" s="35"/>
      <c r="R141" s="35"/>
      <c r="S141" s="35" t="str">
        <f t="shared" si="74"/>
        <v>学员</v>
      </c>
      <c r="T141" s="35"/>
      <c r="U141" s="35" t="str">
        <f t="shared" si="75"/>
        <v>学员</v>
      </c>
      <c r="V141" s="61"/>
      <c r="W141" s="35" t="str">
        <f t="shared" si="76"/>
        <v>学员</v>
      </c>
      <c r="X141" s="61"/>
      <c r="Y141" s="62">
        <f ca="1" t="shared" si="77"/>
        <v>0</v>
      </c>
      <c r="Z141" s="58"/>
      <c r="AA141" s="35">
        <f t="shared" si="78"/>
        <v>0</v>
      </c>
      <c r="AB141" s="58"/>
      <c r="AC141" s="35">
        <f t="shared" si="79"/>
        <v>0</v>
      </c>
      <c r="AD141" s="58"/>
      <c r="AE141" s="35">
        <f t="shared" si="80"/>
        <v>0</v>
      </c>
      <c r="AF141" s="63">
        <f t="shared" si="81"/>
        <v>0</v>
      </c>
      <c r="AG141" s="64">
        <f ca="1" t="shared" si="82"/>
        <v>0</v>
      </c>
      <c r="AH141" s="35">
        <f ca="1" t="shared" si="83"/>
        <v>0</v>
      </c>
      <c r="AI141" s="64">
        <f ca="1" t="shared" si="84"/>
        <v>0</v>
      </c>
      <c r="AJ141" s="35">
        <f ca="1" t="shared" si="85"/>
        <v>0</v>
      </c>
      <c r="AK141" s="35">
        <f t="shared" si="86"/>
        <v>0</v>
      </c>
      <c r="AL141" s="64">
        <f ca="1" t="shared" si="87"/>
        <v>0</v>
      </c>
      <c r="AM141" s="35">
        <f ca="1" t="shared" si="88"/>
        <v>0</v>
      </c>
      <c r="AN141" s="35">
        <f t="shared" si="89"/>
        <v>0</v>
      </c>
      <c r="AO141" s="64">
        <f ca="1" t="shared" si="90"/>
        <v>0</v>
      </c>
      <c r="AP141" s="35">
        <f ca="1" t="shared" si="91"/>
        <v>0</v>
      </c>
      <c r="AQ141" s="35">
        <f t="shared" si="92"/>
        <v>0</v>
      </c>
      <c r="AR141" s="64">
        <f ca="1" t="shared" si="93"/>
        <v>0</v>
      </c>
      <c r="AS141" s="35">
        <f ca="1" t="shared" si="94"/>
        <v>0</v>
      </c>
      <c r="AT141" s="65">
        <f>VLOOKUP(B141,经历时间!A:B,2,FALSE)</f>
        <v>817.53</v>
      </c>
      <c r="AU141" s="67">
        <f t="shared" si="95"/>
        <v>0</v>
      </c>
      <c r="AV141" s="35">
        <f ca="1" t="shared" si="64"/>
        <v>0</v>
      </c>
      <c r="AW141" s="24"/>
      <c r="AX141" s="35"/>
      <c r="AY141" s="24">
        <f ca="1">IFERROR(VLOOKUP(B141,'兼职+帮忙'!B:AF,28,FALSE),0)</f>
        <v>0</v>
      </c>
      <c r="AZ141" s="35"/>
    </row>
    <row r="142" ht="15.6" spans="1:52">
      <c r="A142" s="76">
        <v>282119</v>
      </c>
      <c r="B142" s="77" t="s">
        <v>225</v>
      </c>
      <c r="C142" s="78" t="s">
        <v>218</v>
      </c>
      <c r="D142" s="35"/>
      <c r="E142" s="58" t="str">
        <f ca="1" t="shared" si="66"/>
        <v>无排名</v>
      </c>
      <c r="F142" s="35" t="str">
        <f ca="1" t="shared" si="67"/>
        <v>继续培训</v>
      </c>
      <c r="G142" s="35" t="str">
        <f t="shared" si="65"/>
        <v>学员</v>
      </c>
      <c r="H142" s="59" t="e">
        <f t="shared" si="68"/>
        <v>#N/A</v>
      </c>
      <c r="I142" s="60"/>
      <c r="J142" s="35" t="str">
        <f t="shared" si="69"/>
        <v>学员</v>
      </c>
      <c r="K142" s="35"/>
      <c r="L142" s="58" t="str">
        <f t="shared" si="70"/>
        <v>学员</v>
      </c>
      <c r="M142" s="58" t="str">
        <f t="shared" si="71"/>
        <v>学员</v>
      </c>
      <c r="N142" s="35"/>
      <c r="O142" s="58" t="str">
        <f t="shared" si="72"/>
        <v>学员</v>
      </c>
      <c r="P142" s="58" t="str">
        <f t="shared" si="73"/>
        <v>学员</v>
      </c>
      <c r="Q142" s="35"/>
      <c r="R142" s="35"/>
      <c r="S142" s="35" t="str">
        <f t="shared" si="74"/>
        <v>学员</v>
      </c>
      <c r="T142" s="35"/>
      <c r="U142" s="35" t="str">
        <f t="shared" si="75"/>
        <v>学员</v>
      </c>
      <c r="V142" s="61"/>
      <c r="W142" s="35" t="str">
        <f t="shared" si="76"/>
        <v>学员</v>
      </c>
      <c r="X142" s="61"/>
      <c r="Y142" s="62">
        <f ca="1" t="shared" si="77"/>
        <v>0</v>
      </c>
      <c r="Z142" s="58"/>
      <c r="AA142" s="35">
        <f t="shared" si="78"/>
        <v>0</v>
      </c>
      <c r="AB142" s="58"/>
      <c r="AC142" s="35">
        <f t="shared" si="79"/>
        <v>0</v>
      </c>
      <c r="AD142" s="58"/>
      <c r="AE142" s="35">
        <f t="shared" si="80"/>
        <v>0</v>
      </c>
      <c r="AF142" s="63">
        <f t="shared" si="81"/>
        <v>0</v>
      </c>
      <c r="AG142" s="64">
        <f ca="1" t="shared" si="82"/>
        <v>0</v>
      </c>
      <c r="AH142" s="35">
        <f ca="1" t="shared" si="83"/>
        <v>0</v>
      </c>
      <c r="AI142" s="64">
        <f ca="1" t="shared" si="84"/>
        <v>0</v>
      </c>
      <c r="AJ142" s="35">
        <f ca="1" t="shared" si="85"/>
        <v>0</v>
      </c>
      <c r="AK142" s="35">
        <f t="shared" si="86"/>
        <v>0</v>
      </c>
      <c r="AL142" s="64">
        <f ca="1" t="shared" si="87"/>
        <v>0</v>
      </c>
      <c r="AM142" s="35">
        <f ca="1" t="shared" si="88"/>
        <v>0</v>
      </c>
      <c r="AN142" s="35">
        <f t="shared" si="89"/>
        <v>0</v>
      </c>
      <c r="AO142" s="64">
        <f ca="1" t="shared" si="90"/>
        <v>0</v>
      </c>
      <c r="AP142" s="35">
        <f ca="1" t="shared" si="91"/>
        <v>0</v>
      </c>
      <c r="AQ142" s="35">
        <f t="shared" si="92"/>
        <v>0</v>
      </c>
      <c r="AR142" s="64">
        <f ca="1" t="shared" si="93"/>
        <v>0</v>
      </c>
      <c r="AS142" s="35">
        <f ca="1" t="shared" si="94"/>
        <v>0</v>
      </c>
      <c r="AT142" s="65">
        <f>VLOOKUP(B142,经历时间!A:B,2,FALSE)</f>
        <v>460.02</v>
      </c>
      <c r="AU142" s="67">
        <f t="shared" si="95"/>
        <v>0</v>
      </c>
      <c r="AV142" s="35">
        <f ca="1" t="shared" si="64"/>
        <v>0</v>
      </c>
      <c r="AW142" s="24"/>
      <c r="AX142" s="35"/>
      <c r="AY142" s="24">
        <f ca="1">IFERROR(VLOOKUP(B142,'兼职+帮忙'!B:AF,28,FALSE),0)</f>
        <v>0</v>
      </c>
      <c r="AZ142" s="35"/>
    </row>
    <row r="143" ht="15.6" spans="1:52">
      <c r="A143" s="76">
        <v>280145</v>
      </c>
      <c r="B143" s="77" t="s">
        <v>226</v>
      </c>
      <c r="C143" s="78" t="s">
        <v>227</v>
      </c>
      <c r="D143" s="35"/>
      <c r="E143" s="58" t="str">
        <f ca="1" t="shared" si="66"/>
        <v>无排名</v>
      </c>
      <c r="F143" s="35" t="str">
        <f ca="1" t="shared" si="67"/>
        <v>继续培训</v>
      </c>
      <c r="G143" s="35" t="str">
        <f t="shared" si="65"/>
        <v>学员</v>
      </c>
      <c r="H143" s="59" t="e">
        <f t="shared" si="68"/>
        <v>#N/A</v>
      </c>
      <c r="I143" s="60"/>
      <c r="J143" s="35" t="str">
        <f t="shared" si="69"/>
        <v>学员</v>
      </c>
      <c r="K143" s="35"/>
      <c r="L143" s="58" t="str">
        <f t="shared" si="70"/>
        <v>学员</v>
      </c>
      <c r="M143" s="58" t="str">
        <f t="shared" si="71"/>
        <v>学员</v>
      </c>
      <c r="N143" s="35"/>
      <c r="O143" s="58" t="str">
        <f t="shared" si="72"/>
        <v>学员</v>
      </c>
      <c r="P143" s="58" t="str">
        <f t="shared" si="73"/>
        <v>学员</v>
      </c>
      <c r="Q143" s="35"/>
      <c r="R143" s="35"/>
      <c r="S143" s="35" t="str">
        <f t="shared" si="74"/>
        <v>学员</v>
      </c>
      <c r="T143" s="35"/>
      <c r="U143" s="35" t="str">
        <f t="shared" si="75"/>
        <v>学员</v>
      </c>
      <c r="V143" s="61"/>
      <c r="W143" s="35" t="str">
        <f t="shared" si="76"/>
        <v>学员</v>
      </c>
      <c r="X143" s="61"/>
      <c r="Y143" s="62">
        <f ca="1" t="shared" si="77"/>
        <v>0</v>
      </c>
      <c r="Z143" s="58"/>
      <c r="AA143" s="35">
        <f t="shared" si="78"/>
        <v>0</v>
      </c>
      <c r="AB143" s="58"/>
      <c r="AC143" s="35">
        <f t="shared" si="79"/>
        <v>0</v>
      </c>
      <c r="AD143" s="58"/>
      <c r="AE143" s="35">
        <f t="shared" si="80"/>
        <v>0</v>
      </c>
      <c r="AF143" s="63">
        <f t="shared" si="81"/>
        <v>0</v>
      </c>
      <c r="AG143" s="64">
        <f ca="1" t="shared" si="82"/>
        <v>0</v>
      </c>
      <c r="AH143" s="35">
        <f ca="1" t="shared" si="83"/>
        <v>0</v>
      </c>
      <c r="AI143" s="64">
        <f ca="1" t="shared" si="84"/>
        <v>0</v>
      </c>
      <c r="AJ143" s="35">
        <f ca="1" t="shared" si="85"/>
        <v>0</v>
      </c>
      <c r="AK143" s="35">
        <f t="shared" si="86"/>
        <v>0</v>
      </c>
      <c r="AL143" s="64">
        <f ca="1" t="shared" si="87"/>
        <v>0</v>
      </c>
      <c r="AM143" s="35">
        <f ca="1" t="shared" si="88"/>
        <v>0</v>
      </c>
      <c r="AN143" s="35">
        <f t="shared" si="89"/>
        <v>0</v>
      </c>
      <c r="AO143" s="64">
        <f ca="1" t="shared" si="90"/>
        <v>0</v>
      </c>
      <c r="AP143" s="35">
        <f ca="1" t="shared" si="91"/>
        <v>0</v>
      </c>
      <c r="AQ143" s="35">
        <f t="shared" si="92"/>
        <v>0</v>
      </c>
      <c r="AR143" s="64">
        <f ca="1" t="shared" si="93"/>
        <v>0</v>
      </c>
      <c r="AS143" s="35">
        <f ca="1" t="shared" si="94"/>
        <v>0</v>
      </c>
      <c r="AT143" s="65">
        <f>VLOOKUP(B143,经历时间!A:B,2,FALSE)</f>
        <v>1023.56</v>
      </c>
      <c r="AU143" s="67">
        <f t="shared" si="95"/>
        <v>0</v>
      </c>
      <c r="AV143" s="35">
        <f ca="1" t="shared" si="64"/>
        <v>0</v>
      </c>
      <c r="AW143" s="24"/>
      <c r="AX143" s="35"/>
      <c r="AY143" s="24">
        <f ca="1">IFERROR(VLOOKUP(B143,'兼职+帮忙'!B:AF,28,FALSE),0)</f>
        <v>0</v>
      </c>
      <c r="AZ143" s="35"/>
    </row>
    <row r="144" ht="15.6" spans="1:52">
      <c r="A144" s="76">
        <v>297287</v>
      </c>
      <c r="B144" s="77" t="s">
        <v>228</v>
      </c>
      <c r="C144" s="78" t="s">
        <v>216</v>
      </c>
      <c r="D144" s="35"/>
      <c r="E144" s="58" t="str">
        <f ca="1" t="shared" si="66"/>
        <v>无排名</v>
      </c>
      <c r="F144" s="35" t="str">
        <f ca="1" t="shared" si="67"/>
        <v>继续培训</v>
      </c>
      <c r="G144" s="35" t="str">
        <f t="shared" si="65"/>
        <v>学员</v>
      </c>
      <c r="H144" s="59" t="e">
        <f t="shared" si="68"/>
        <v>#N/A</v>
      </c>
      <c r="I144" s="60"/>
      <c r="J144" s="35" t="str">
        <f t="shared" si="69"/>
        <v>学员</v>
      </c>
      <c r="K144" s="35"/>
      <c r="L144" s="58" t="str">
        <f t="shared" si="70"/>
        <v>学员</v>
      </c>
      <c r="M144" s="58" t="str">
        <f t="shared" si="71"/>
        <v>学员</v>
      </c>
      <c r="N144" s="35"/>
      <c r="O144" s="58" t="str">
        <f t="shared" si="72"/>
        <v>学员</v>
      </c>
      <c r="P144" s="58" t="str">
        <f t="shared" si="73"/>
        <v>学员</v>
      </c>
      <c r="Q144" s="35"/>
      <c r="R144" s="35"/>
      <c r="S144" s="35" t="str">
        <f t="shared" si="74"/>
        <v>学员</v>
      </c>
      <c r="T144" s="35"/>
      <c r="U144" s="35" t="str">
        <f t="shared" si="75"/>
        <v>学员</v>
      </c>
      <c r="V144" s="61"/>
      <c r="W144" s="35" t="str">
        <f t="shared" si="76"/>
        <v>学员</v>
      </c>
      <c r="X144" s="61"/>
      <c r="Y144" s="62">
        <f ca="1" t="shared" si="77"/>
        <v>0</v>
      </c>
      <c r="Z144" s="58"/>
      <c r="AA144" s="35">
        <f t="shared" si="78"/>
        <v>0</v>
      </c>
      <c r="AB144" s="58"/>
      <c r="AC144" s="35">
        <f t="shared" si="79"/>
        <v>0</v>
      </c>
      <c r="AD144" s="58"/>
      <c r="AE144" s="35">
        <f t="shared" si="80"/>
        <v>0</v>
      </c>
      <c r="AF144" s="63">
        <f t="shared" si="81"/>
        <v>0</v>
      </c>
      <c r="AG144" s="64">
        <f ca="1" t="shared" si="82"/>
        <v>0</v>
      </c>
      <c r="AH144" s="35">
        <f ca="1" t="shared" si="83"/>
        <v>0</v>
      </c>
      <c r="AI144" s="64">
        <f ca="1" t="shared" si="84"/>
        <v>0</v>
      </c>
      <c r="AJ144" s="35">
        <f ca="1" t="shared" si="85"/>
        <v>0</v>
      </c>
      <c r="AK144" s="35">
        <f t="shared" si="86"/>
        <v>0</v>
      </c>
      <c r="AL144" s="64">
        <f ca="1" t="shared" si="87"/>
        <v>0</v>
      </c>
      <c r="AM144" s="35">
        <f ca="1" t="shared" si="88"/>
        <v>0</v>
      </c>
      <c r="AN144" s="35">
        <f t="shared" si="89"/>
        <v>0</v>
      </c>
      <c r="AO144" s="64">
        <f ca="1" t="shared" si="90"/>
        <v>0</v>
      </c>
      <c r="AP144" s="35">
        <f ca="1" t="shared" si="91"/>
        <v>0</v>
      </c>
      <c r="AQ144" s="35">
        <f t="shared" si="92"/>
        <v>0</v>
      </c>
      <c r="AR144" s="64">
        <f ca="1" t="shared" si="93"/>
        <v>0</v>
      </c>
      <c r="AS144" s="35">
        <f ca="1" t="shared" si="94"/>
        <v>0</v>
      </c>
      <c r="AT144" s="65">
        <f>VLOOKUP(B144,经历时间!A:B,2,FALSE)</f>
        <v>337.06</v>
      </c>
      <c r="AU144" s="67">
        <f t="shared" si="95"/>
        <v>0</v>
      </c>
      <c r="AV144" s="35">
        <f ca="1" t="shared" si="64"/>
        <v>0</v>
      </c>
      <c r="AW144" s="24"/>
      <c r="AX144" s="35"/>
      <c r="AY144" s="24">
        <f ca="1">IFERROR(VLOOKUP(B144,'兼职+帮忙'!B:AF,28,FALSE),0)</f>
        <v>0</v>
      </c>
      <c r="AZ144" s="35"/>
    </row>
    <row r="145" ht="15.6" spans="1:52">
      <c r="A145" s="76">
        <v>297292</v>
      </c>
      <c r="B145" s="77" t="s">
        <v>229</v>
      </c>
      <c r="C145" s="78" t="s">
        <v>218</v>
      </c>
      <c r="D145" s="35"/>
      <c r="E145" s="58" t="str">
        <f ca="1" t="shared" si="66"/>
        <v>无排名</v>
      </c>
      <c r="F145" s="35" t="str">
        <f ca="1" t="shared" si="67"/>
        <v>继续培训</v>
      </c>
      <c r="G145" s="35" t="str">
        <f t="shared" si="65"/>
        <v>学员</v>
      </c>
      <c r="H145" s="59" t="e">
        <f t="shared" si="68"/>
        <v>#N/A</v>
      </c>
      <c r="I145" s="60"/>
      <c r="J145" s="35" t="str">
        <f t="shared" si="69"/>
        <v>学员</v>
      </c>
      <c r="K145" s="35"/>
      <c r="L145" s="58" t="str">
        <f t="shared" si="70"/>
        <v>学员</v>
      </c>
      <c r="M145" s="58" t="str">
        <f t="shared" si="71"/>
        <v>学员</v>
      </c>
      <c r="N145" s="35"/>
      <c r="O145" s="58" t="str">
        <f t="shared" si="72"/>
        <v>学员</v>
      </c>
      <c r="P145" s="58" t="str">
        <f t="shared" si="73"/>
        <v>学员</v>
      </c>
      <c r="Q145" s="35"/>
      <c r="R145" s="35"/>
      <c r="S145" s="35" t="str">
        <f t="shared" si="74"/>
        <v>学员</v>
      </c>
      <c r="T145" s="35"/>
      <c r="U145" s="35" t="str">
        <f t="shared" si="75"/>
        <v>学员</v>
      </c>
      <c r="V145" s="61"/>
      <c r="W145" s="35" t="str">
        <f t="shared" si="76"/>
        <v>学员</v>
      </c>
      <c r="X145" s="61"/>
      <c r="Y145" s="62">
        <f ca="1" t="shared" si="77"/>
        <v>0</v>
      </c>
      <c r="Z145" s="58"/>
      <c r="AA145" s="35">
        <f t="shared" si="78"/>
        <v>0</v>
      </c>
      <c r="AB145" s="58"/>
      <c r="AC145" s="35">
        <f t="shared" si="79"/>
        <v>0</v>
      </c>
      <c r="AD145" s="58"/>
      <c r="AE145" s="35">
        <f t="shared" si="80"/>
        <v>0</v>
      </c>
      <c r="AF145" s="63">
        <f t="shared" si="81"/>
        <v>0</v>
      </c>
      <c r="AG145" s="64">
        <f ca="1" t="shared" si="82"/>
        <v>0</v>
      </c>
      <c r="AH145" s="35">
        <f ca="1" t="shared" si="83"/>
        <v>0</v>
      </c>
      <c r="AI145" s="64">
        <f ca="1" t="shared" si="84"/>
        <v>0</v>
      </c>
      <c r="AJ145" s="35">
        <f ca="1" t="shared" si="85"/>
        <v>0</v>
      </c>
      <c r="AK145" s="35">
        <f t="shared" si="86"/>
        <v>0</v>
      </c>
      <c r="AL145" s="64">
        <f ca="1" t="shared" si="87"/>
        <v>0</v>
      </c>
      <c r="AM145" s="35">
        <f ca="1" t="shared" si="88"/>
        <v>0</v>
      </c>
      <c r="AN145" s="35">
        <f t="shared" si="89"/>
        <v>0</v>
      </c>
      <c r="AO145" s="64">
        <f ca="1" t="shared" si="90"/>
        <v>0</v>
      </c>
      <c r="AP145" s="35">
        <f ca="1" t="shared" si="91"/>
        <v>0</v>
      </c>
      <c r="AQ145" s="35">
        <f t="shared" si="92"/>
        <v>0</v>
      </c>
      <c r="AR145" s="64">
        <f ca="1" t="shared" si="93"/>
        <v>0</v>
      </c>
      <c r="AS145" s="35">
        <f ca="1" t="shared" si="94"/>
        <v>0</v>
      </c>
      <c r="AT145" s="65">
        <f>VLOOKUP(B145,经历时间!A:B,2,FALSE)</f>
        <v>292.49</v>
      </c>
      <c r="AU145" s="67">
        <f t="shared" si="95"/>
        <v>0</v>
      </c>
      <c r="AV145" s="35">
        <f ca="1" t="shared" si="64"/>
        <v>0</v>
      </c>
      <c r="AW145" s="24"/>
      <c r="AX145" s="35"/>
      <c r="AY145" s="24">
        <f ca="1">IFERROR(VLOOKUP(B145,'兼职+帮忙'!B:AF,28,FALSE),0)</f>
        <v>0</v>
      </c>
      <c r="AZ145" s="35"/>
    </row>
    <row r="146" ht="15.6" spans="1:52">
      <c r="A146" s="76">
        <v>294511</v>
      </c>
      <c r="B146" s="77" t="s">
        <v>230</v>
      </c>
      <c r="C146" s="78" t="s">
        <v>218</v>
      </c>
      <c r="D146" s="35"/>
      <c r="E146" s="58" t="str">
        <f ca="1" t="shared" si="66"/>
        <v>无排名</v>
      </c>
      <c r="F146" s="35" t="str">
        <f ca="1" t="shared" si="67"/>
        <v>继续培训</v>
      </c>
      <c r="G146" s="35" t="str">
        <f t="shared" si="65"/>
        <v>学员</v>
      </c>
      <c r="H146" s="59" t="e">
        <f t="shared" si="68"/>
        <v>#N/A</v>
      </c>
      <c r="I146" s="60"/>
      <c r="J146" s="35" t="str">
        <f t="shared" si="69"/>
        <v>学员</v>
      </c>
      <c r="K146" s="35"/>
      <c r="L146" s="58" t="str">
        <f t="shared" si="70"/>
        <v>学员</v>
      </c>
      <c r="M146" s="58" t="str">
        <f t="shared" si="71"/>
        <v>学员</v>
      </c>
      <c r="N146" s="35"/>
      <c r="O146" s="58" t="str">
        <f t="shared" si="72"/>
        <v>学员</v>
      </c>
      <c r="P146" s="58" t="str">
        <f t="shared" si="73"/>
        <v>学员</v>
      </c>
      <c r="Q146" s="35"/>
      <c r="R146" s="35"/>
      <c r="S146" s="35" t="str">
        <f t="shared" si="74"/>
        <v>学员</v>
      </c>
      <c r="T146" s="35"/>
      <c r="U146" s="35" t="str">
        <f t="shared" si="75"/>
        <v>学员</v>
      </c>
      <c r="V146" s="61"/>
      <c r="W146" s="35" t="str">
        <f t="shared" si="76"/>
        <v>学员</v>
      </c>
      <c r="X146" s="61"/>
      <c r="Y146" s="62">
        <f ca="1" t="shared" si="77"/>
        <v>0</v>
      </c>
      <c r="Z146" s="58"/>
      <c r="AA146" s="35">
        <f t="shared" si="78"/>
        <v>0</v>
      </c>
      <c r="AB146" s="58"/>
      <c r="AC146" s="35">
        <f t="shared" si="79"/>
        <v>0</v>
      </c>
      <c r="AD146" s="58"/>
      <c r="AE146" s="35">
        <f t="shared" si="80"/>
        <v>0</v>
      </c>
      <c r="AF146" s="63">
        <f t="shared" si="81"/>
        <v>0</v>
      </c>
      <c r="AG146" s="64">
        <f ca="1" t="shared" si="82"/>
        <v>0</v>
      </c>
      <c r="AH146" s="35">
        <f ca="1" t="shared" si="83"/>
        <v>0</v>
      </c>
      <c r="AI146" s="64">
        <f ca="1" t="shared" si="84"/>
        <v>0</v>
      </c>
      <c r="AJ146" s="35">
        <f ca="1" t="shared" si="85"/>
        <v>0</v>
      </c>
      <c r="AK146" s="35">
        <f t="shared" si="86"/>
        <v>0</v>
      </c>
      <c r="AL146" s="64">
        <f ca="1" t="shared" si="87"/>
        <v>0</v>
      </c>
      <c r="AM146" s="35">
        <f ca="1" t="shared" si="88"/>
        <v>0</v>
      </c>
      <c r="AN146" s="35">
        <f t="shared" si="89"/>
        <v>0</v>
      </c>
      <c r="AO146" s="64">
        <f ca="1" t="shared" si="90"/>
        <v>0</v>
      </c>
      <c r="AP146" s="35">
        <f ca="1" t="shared" si="91"/>
        <v>0</v>
      </c>
      <c r="AQ146" s="35">
        <f t="shared" si="92"/>
        <v>0</v>
      </c>
      <c r="AR146" s="64">
        <f ca="1" t="shared" si="93"/>
        <v>0</v>
      </c>
      <c r="AS146" s="35">
        <f ca="1" t="shared" si="94"/>
        <v>0</v>
      </c>
      <c r="AT146" s="65">
        <f>VLOOKUP(B146,经历时间!A:B,2,FALSE)</f>
        <v>329.45</v>
      </c>
      <c r="AU146" s="67">
        <f t="shared" si="95"/>
        <v>0</v>
      </c>
      <c r="AV146" s="35">
        <f ca="1" t="shared" si="64"/>
        <v>0</v>
      </c>
      <c r="AW146" s="24"/>
      <c r="AX146" s="35"/>
      <c r="AY146" s="24">
        <f ca="1">IFERROR(VLOOKUP(B146,'兼职+帮忙'!B:AF,28,FALSE),0)</f>
        <v>0</v>
      </c>
      <c r="AZ146" s="35"/>
    </row>
    <row r="147" ht="15.6" spans="1:52">
      <c r="A147" s="76">
        <v>298146</v>
      </c>
      <c r="B147" s="77" t="s">
        <v>231</v>
      </c>
      <c r="C147" s="78" t="s">
        <v>227</v>
      </c>
      <c r="D147" s="35"/>
      <c r="E147" s="58" t="str">
        <f ca="1" t="shared" si="66"/>
        <v>无排名</v>
      </c>
      <c r="F147" s="35" t="str">
        <f ca="1" t="shared" si="67"/>
        <v>继续培训</v>
      </c>
      <c r="G147" s="35" t="str">
        <f t="shared" si="65"/>
        <v>学员</v>
      </c>
      <c r="H147" s="59" t="e">
        <f t="shared" si="68"/>
        <v>#N/A</v>
      </c>
      <c r="I147" s="60"/>
      <c r="J147" s="35" t="str">
        <f t="shared" si="69"/>
        <v>学员</v>
      </c>
      <c r="K147" s="35"/>
      <c r="L147" s="58" t="str">
        <f t="shared" si="70"/>
        <v>学员</v>
      </c>
      <c r="M147" s="58" t="str">
        <f t="shared" si="71"/>
        <v>学员</v>
      </c>
      <c r="N147" s="35"/>
      <c r="O147" s="58" t="str">
        <f t="shared" si="72"/>
        <v>学员</v>
      </c>
      <c r="P147" s="58" t="str">
        <f t="shared" si="73"/>
        <v>学员</v>
      </c>
      <c r="Q147" s="35"/>
      <c r="R147" s="35"/>
      <c r="S147" s="35" t="str">
        <f t="shared" si="74"/>
        <v>学员</v>
      </c>
      <c r="T147" s="35"/>
      <c r="U147" s="35" t="str">
        <f t="shared" si="75"/>
        <v>学员</v>
      </c>
      <c r="V147" s="61"/>
      <c r="W147" s="35" t="str">
        <f t="shared" si="76"/>
        <v>学员</v>
      </c>
      <c r="X147" s="61"/>
      <c r="Y147" s="62">
        <f ca="1" t="shared" si="77"/>
        <v>0</v>
      </c>
      <c r="Z147" s="58"/>
      <c r="AA147" s="35">
        <f t="shared" si="78"/>
        <v>0</v>
      </c>
      <c r="AB147" s="58"/>
      <c r="AC147" s="35">
        <f t="shared" si="79"/>
        <v>0</v>
      </c>
      <c r="AD147" s="58"/>
      <c r="AE147" s="35">
        <f t="shared" si="80"/>
        <v>0</v>
      </c>
      <c r="AF147" s="63">
        <f t="shared" si="81"/>
        <v>0</v>
      </c>
      <c r="AG147" s="64">
        <f ca="1" t="shared" si="82"/>
        <v>0</v>
      </c>
      <c r="AH147" s="35">
        <f ca="1" t="shared" si="83"/>
        <v>0</v>
      </c>
      <c r="AI147" s="64">
        <f ca="1" t="shared" si="84"/>
        <v>0</v>
      </c>
      <c r="AJ147" s="35">
        <f ca="1" t="shared" si="85"/>
        <v>0</v>
      </c>
      <c r="AK147" s="35">
        <f t="shared" si="86"/>
        <v>0</v>
      </c>
      <c r="AL147" s="64">
        <f ca="1" t="shared" si="87"/>
        <v>0</v>
      </c>
      <c r="AM147" s="35">
        <f ca="1" t="shared" si="88"/>
        <v>0</v>
      </c>
      <c r="AN147" s="35">
        <f t="shared" si="89"/>
        <v>0</v>
      </c>
      <c r="AO147" s="64">
        <f ca="1" t="shared" si="90"/>
        <v>0</v>
      </c>
      <c r="AP147" s="35">
        <f ca="1" t="shared" si="91"/>
        <v>0</v>
      </c>
      <c r="AQ147" s="35">
        <f t="shared" si="92"/>
        <v>0</v>
      </c>
      <c r="AR147" s="64">
        <f ca="1" t="shared" si="93"/>
        <v>0</v>
      </c>
      <c r="AS147" s="35">
        <f ca="1" t="shared" si="94"/>
        <v>0</v>
      </c>
      <c r="AT147" s="65">
        <f>VLOOKUP(B147,经历时间!A:B,2,FALSE)</f>
        <v>281.21</v>
      </c>
      <c r="AU147" s="67">
        <f t="shared" si="95"/>
        <v>0</v>
      </c>
      <c r="AV147" s="35">
        <f ca="1" t="shared" si="64"/>
        <v>0</v>
      </c>
      <c r="AW147" s="24"/>
      <c r="AX147" s="35"/>
      <c r="AY147" s="24">
        <f ca="1">IFERROR(VLOOKUP(B147,'兼职+帮忙'!B:AF,28,FALSE),0)</f>
        <v>0</v>
      </c>
      <c r="AZ147" s="35"/>
    </row>
    <row r="148" ht="15.6" spans="1:52">
      <c r="A148" s="76">
        <v>280950</v>
      </c>
      <c r="B148" s="77" t="s">
        <v>232</v>
      </c>
      <c r="C148" s="78" t="s">
        <v>227</v>
      </c>
      <c r="D148" s="35"/>
      <c r="E148" s="58" t="str">
        <f ca="1" t="shared" si="66"/>
        <v>无排名</v>
      </c>
      <c r="F148" s="35" t="str">
        <f ca="1" t="shared" si="67"/>
        <v>继续培训</v>
      </c>
      <c r="G148" s="35" t="str">
        <f t="shared" si="65"/>
        <v>学员</v>
      </c>
      <c r="H148" s="59" t="e">
        <f t="shared" si="68"/>
        <v>#N/A</v>
      </c>
      <c r="I148" s="60"/>
      <c r="J148" s="35" t="str">
        <f t="shared" si="69"/>
        <v>学员</v>
      </c>
      <c r="K148" s="35"/>
      <c r="L148" s="58" t="str">
        <f t="shared" si="70"/>
        <v>学员</v>
      </c>
      <c r="M148" s="58" t="str">
        <f t="shared" si="71"/>
        <v>学员</v>
      </c>
      <c r="N148" s="35"/>
      <c r="O148" s="58" t="str">
        <f t="shared" si="72"/>
        <v>学员</v>
      </c>
      <c r="P148" s="58" t="str">
        <f t="shared" si="73"/>
        <v>学员</v>
      </c>
      <c r="Q148" s="35"/>
      <c r="R148" s="35"/>
      <c r="S148" s="35" t="str">
        <f t="shared" si="74"/>
        <v>学员</v>
      </c>
      <c r="T148" s="35"/>
      <c r="U148" s="35" t="str">
        <f t="shared" si="75"/>
        <v>学员</v>
      </c>
      <c r="V148" s="61"/>
      <c r="W148" s="35" t="str">
        <f t="shared" si="76"/>
        <v>学员</v>
      </c>
      <c r="X148" s="61"/>
      <c r="Y148" s="62">
        <f ca="1" t="shared" si="77"/>
        <v>0</v>
      </c>
      <c r="Z148" s="58"/>
      <c r="AA148" s="35">
        <f t="shared" si="78"/>
        <v>0</v>
      </c>
      <c r="AB148" s="58"/>
      <c r="AC148" s="35">
        <f t="shared" si="79"/>
        <v>0</v>
      </c>
      <c r="AD148" s="58"/>
      <c r="AE148" s="35">
        <f t="shared" si="80"/>
        <v>0</v>
      </c>
      <c r="AF148" s="63">
        <f t="shared" si="81"/>
        <v>0</v>
      </c>
      <c r="AG148" s="64">
        <f ca="1" t="shared" si="82"/>
        <v>0</v>
      </c>
      <c r="AH148" s="35">
        <f ca="1" t="shared" si="83"/>
        <v>0</v>
      </c>
      <c r="AI148" s="64">
        <f ca="1" t="shared" si="84"/>
        <v>0</v>
      </c>
      <c r="AJ148" s="35">
        <f ca="1" t="shared" si="85"/>
        <v>0</v>
      </c>
      <c r="AK148" s="35">
        <f t="shared" si="86"/>
        <v>0</v>
      </c>
      <c r="AL148" s="64">
        <f ca="1" t="shared" si="87"/>
        <v>0</v>
      </c>
      <c r="AM148" s="35">
        <f ca="1" t="shared" si="88"/>
        <v>0</v>
      </c>
      <c r="AN148" s="35">
        <f t="shared" si="89"/>
        <v>0</v>
      </c>
      <c r="AO148" s="64">
        <f ca="1" t="shared" si="90"/>
        <v>0</v>
      </c>
      <c r="AP148" s="35">
        <f ca="1" t="shared" si="91"/>
        <v>0</v>
      </c>
      <c r="AQ148" s="35">
        <f t="shared" si="92"/>
        <v>0</v>
      </c>
      <c r="AR148" s="64">
        <f ca="1" t="shared" si="93"/>
        <v>0</v>
      </c>
      <c r="AS148" s="35">
        <f ca="1" t="shared" si="94"/>
        <v>0</v>
      </c>
      <c r="AT148" s="65">
        <f>VLOOKUP(B148,经历时间!A:B,2,FALSE)</f>
        <v>347.43</v>
      </c>
      <c r="AU148" s="67">
        <f t="shared" si="95"/>
        <v>0</v>
      </c>
      <c r="AV148" s="35">
        <f ca="1" t="shared" si="64"/>
        <v>0</v>
      </c>
      <c r="AW148" s="24"/>
      <c r="AX148" s="35"/>
      <c r="AY148" s="24">
        <f ca="1">IFERROR(VLOOKUP(B148,'兼职+帮忙'!B:AF,28,FALSE),0)</f>
        <v>0</v>
      </c>
      <c r="AZ148" s="35"/>
    </row>
    <row r="149" ht="15.6" spans="1:52">
      <c r="A149" s="76">
        <v>294947</v>
      </c>
      <c r="B149" s="77" t="s">
        <v>233</v>
      </c>
      <c r="C149" s="78" t="s">
        <v>227</v>
      </c>
      <c r="D149" s="35"/>
      <c r="E149" s="58" t="str">
        <f ca="1" t="shared" si="66"/>
        <v>无排名</v>
      </c>
      <c r="F149" s="35" t="str">
        <f ca="1" t="shared" si="67"/>
        <v>继续培训</v>
      </c>
      <c r="G149" s="35" t="str">
        <f t="shared" si="65"/>
        <v>学员</v>
      </c>
      <c r="H149" s="59" t="e">
        <f t="shared" si="68"/>
        <v>#N/A</v>
      </c>
      <c r="I149" s="60"/>
      <c r="J149" s="35" t="str">
        <f t="shared" si="69"/>
        <v>学员</v>
      </c>
      <c r="K149" s="35"/>
      <c r="L149" s="58" t="str">
        <f t="shared" si="70"/>
        <v>学员</v>
      </c>
      <c r="M149" s="58" t="str">
        <f t="shared" si="71"/>
        <v>学员</v>
      </c>
      <c r="N149" s="35"/>
      <c r="O149" s="58" t="str">
        <f t="shared" si="72"/>
        <v>学员</v>
      </c>
      <c r="P149" s="58" t="str">
        <f t="shared" si="73"/>
        <v>学员</v>
      </c>
      <c r="Q149" s="35"/>
      <c r="R149" s="35"/>
      <c r="S149" s="35" t="str">
        <f t="shared" si="74"/>
        <v>学员</v>
      </c>
      <c r="T149" s="35"/>
      <c r="U149" s="35" t="str">
        <f t="shared" si="75"/>
        <v>学员</v>
      </c>
      <c r="V149" s="61"/>
      <c r="W149" s="35" t="str">
        <f t="shared" si="76"/>
        <v>学员</v>
      </c>
      <c r="X149" s="61"/>
      <c r="Y149" s="62">
        <f ca="1" t="shared" si="77"/>
        <v>0</v>
      </c>
      <c r="Z149" s="58"/>
      <c r="AA149" s="35">
        <f t="shared" si="78"/>
        <v>0</v>
      </c>
      <c r="AB149" s="58"/>
      <c r="AC149" s="35">
        <f t="shared" si="79"/>
        <v>0</v>
      </c>
      <c r="AD149" s="58"/>
      <c r="AE149" s="35">
        <f t="shared" si="80"/>
        <v>0</v>
      </c>
      <c r="AF149" s="63">
        <f t="shared" si="81"/>
        <v>0</v>
      </c>
      <c r="AG149" s="64">
        <f ca="1" t="shared" si="82"/>
        <v>0</v>
      </c>
      <c r="AH149" s="35">
        <f ca="1" t="shared" si="83"/>
        <v>0</v>
      </c>
      <c r="AI149" s="64">
        <f ca="1" t="shared" si="84"/>
        <v>0</v>
      </c>
      <c r="AJ149" s="35">
        <f ca="1" t="shared" si="85"/>
        <v>0</v>
      </c>
      <c r="AK149" s="35">
        <f t="shared" si="86"/>
        <v>0</v>
      </c>
      <c r="AL149" s="64">
        <f ca="1" t="shared" si="87"/>
        <v>0</v>
      </c>
      <c r="AM149" s="35">
        <f ca="1" t="shared" si="88"/>
        <v>0</v>
      </c>
      <c r="AN149" s="35">
        <f t="shared" si="89"/>
        <v>0</v>
      </c>
      <c r="AO149" s="64">
        <f ca="1" t="shared" si="90"/>
        <v>0</v>
      </c>
      <c r="AP149" s="35">
        <f ca="1" t="shared" si="91"/>
        <v>0</v>
      </c>
      <c r="AQ149" s="35">
        <f t="shared" si="92"/>
        <v>0</v>
      </c>
      <c r="AR149" s="64">
        <f ca="1" t="shared" si="93"/>
        <v>0</v>
      </c>
      <c r="AS149" s="35">
        <f ca="1" t="shared" si="94"/>
        <v>0</v>
      </c>
      <c r="AT149" s="65">
        <f>VLOOKUP(B149,经历时间!A:B,2,FALSE)</f>
        <v>263.06</v>
      </c>
      <c r="AU149" s="67">
        <f t="shared" si="95"/>
        <v>0</v>
      </c>
      <c r="AV149" s="35">
        <f ca="1" t="shared" si="64"/>
        <v>0</v>
      </c>
      <c r="AW149" s="24"/>
      <c r="AX149" s="35"/>
      <c r="AY149" s="24">
        <f ca="1">IFERROR(VLOOKUP(B149,'兼职+帮忙'!B:AF,28,FALSE),0)</f>
        <v>0</v>
      </c>
      <c r="AZ149" s="35"/>
    </row>
  </sheetData>
  <conditionalFormatting sqref="A4">
    <cfRule type="duplicateValues" dxfId="0" priority="110"/>
  </conditionalFormatting>
  <conditionalFormatting sqref="H4">
    <cfRule type="cellIs" dxfId="1" priority="107" operator="lessThanOrEqual">
      <formula>TODAY()</formula>
    </cfRule>
    <cfRule type="cellIs" dxfId="2" priority="108" operator="lessThan">
      <formula>TODAY()+30</formula>
    </cfRule>
  </conditionalFormatting>
  <conditionalFormatting sqref="H7">
    <cfRule type="cellIs" dxfId="1" priority="120" operator="lessThanOrEqual">
      <formula>TODAY()</formula>
    </cfRule>
    <cfRule type="cellIs" dxfId="2" priority="121" operator="lessThan">
      <formula>TODAY()+30</formula>
    </cfRule>
    <cfRule type="cellIs" dxfId="3" priority="122" stopIfTrue="1" operator="equal">
      <formula>"可流转"</formula>
    </cfRule>
  </conditionalFormatting>
  <conditionalFormatting sqref="H14">
    <cfRule type="cellIs" dxfId="1" priority="117" operator="lessThanOrEqual">
      <formula>TODAY()</formula>
    </cfRule>
    <cfRule type="cellIs" dxfId="2" priority="118" operator="lessThan">
      <formula>TODAY()+30</formula>
    </cfRule>
    <cfRule type="cellIs" dxfId="3" priority="119" stopIfTrue="1" operator="equal">
      <formula>"可流转"</formula>
    </cfRule>
  </conditionalFormatting>
  <conditionalFormatting sqref="H15">
    <cfRule type="cellIs" dxfId="1" priority="114" operator="lessThanOrEqual">
      <formula>TODAY()</formula>
    </cfRule>
    <cfRule type="cellIs" dxfId="2" priority="115" operator="lessThan">
      <formula>TODAY()+30</formula>
    </cfRule>
    <cfRule type="cellIs" dxfId="3" priority="116" stopIfTrue="1" operator="equal">
      <formula>"可流转"</formula>
    </cfRule>
  </conditionalFormatting>
  <conditionalFormatting sqref="Q20:R20">
    <cfRule type="expression" dxfId="4" priority="104">
      <formula>AND(COUNTIF($H$20:$I$20,Q20)+COUNTIF($K$20,Q20)+COUNTIF($N$20,Q20)+COUNTIF($Q$20:$R$20,Q20)+COUNTIF($T$20,Q20)+COUNTIF($V$20:$Y$20,Q20)+COUNTIF($AB$20:$AV$20,Q20)+COUNTIF($Y$23:$Y$27,Q20)&gt;1,NOT(ISBLANK(Q20)))</formula>
    </cfRule>
  </conditionalFormatting>
  <conditionalFormatting sqref="D131">
    <cfRule type="containsText" dxfId="5" priority="18" operator="between" text="不考核">
      <formula>NOT(ISERROR(SEARCH("不考核",D131)))</formula>
    </cfRule>
    <cfRule type="cellIs" dxfId="3" priority="19" stopIfTrue="1" operator="equal">
      <formula>"可流转"</formula>
    </cfRule>
  </conditionalFormatting>
  <conditionalFormatting sqref="G131">
    <cfRule type="containsText" dxfId="5" priority="21" operator="between" text="不考核">
      <formula>NOT(ISERROR(SEARCH("不考核",G131)))</formula>
    </cfRule>
    <cfRule type="cellIs" dxfId="3" priority="22" stopIfTrue="1" operator="equal">
      <formula>"可流转"</formula>
    </cfRule>
  </conditionalFormatting>
  <conditionalFormatting sqref="H131">
    <cfRule type="cellIs" dxfId="1" priority="23" operator="lessThanOrEqual">
      <formula>TODAY()</formula>
    </cfRule>
    <cfRule type="cellIs" dxfId="2" priority="24" operator="lessThan">
      <formula>TODAY()+30</formula>
    </cfRule>
    <cfRule type="cellIs" dxfId="3" priority="25" stopIfTrue="1" operator="equal">
      <formula>"可流转"</formula>
    </cfRule>
  </conditionalFormatting>
  <conditionalFormatting sqref="J131">
    <cfRule type="top10" dxfId="6" priority="26" percent="1" bottom="1" rank="10"/>
  </conditionalFormatting>
  <conditionalFormatting sqref="L131">
    <cfRule type="top10" dxfId="7" priority="28" rank="5"/>
  </conditionalFormatting>
  <conditionalFormatting sqref="M131">
    <cfRule type="top10" dxfId="7" priority="31" rank="5"/>
  </conditionalFormatting>
  <conditionalFormatting sqref="O131">
    <cfRule type="top10" dxfId="7" priority="29" rank="5"/>
  </conditionalFormatting>
  <conditionalFormatting sqref="P131">
    <cfRule type="top10" dxfId="7" priority="30" rank="5"/>
  </conditionalFormatting>
  <conditionalFormatting sqref="A84:A99">
    <cfRule type="duplicateValues" dxfId="0" priority="92"/>
  </conditionalFormatting>
  <conditionalFormatting sqref="B$1:B$1048576">
    <cfRule type="duplicateValues" dxfId="8" priority="138"/>
  </conditionalFormatting>
  <conditionalFormatting sqref="D120:D121">
    <cfRule type="containsText" dxfId="5" priority="89" operator="between" text="不考核">
      <formula>NOT(ISERROR(SEARCH("不考核",D120)))</formula>
    </cfRule>
    <cfRule type="cellIs" dxfId="3" priority="90" stopIfTrue="1" operator="equal">
      <formula>"可流转"</formula>
    </cfRule>
  </conditionalFormatting>
  <conditionalFormatting sqref="D123:D124">
    <cfRule type="containsText" dxfId="5" priority="74" operator="between" text="不考核">
      <formula>NOT(ISERROR(SEARCH("不考核",D123)))</formula>
    </cfRule>
    <cfRule type="cellIs" dxfId="3" priority="75" stopIfTrue="1" operator="equal">
      <formula>"可流转"</formula>
    </cfRule>
  </conditionalFormatting>
  <conditionalFormatting sqref="D125:D126">
    <cfRule type="containsText" dxfId="5" priority="60" operator="between" text="不考核">
      <formula>NOT(ISERROR(SEARCH("不考核",D125)))</formula>
    </cfRule>
    <cfRule type="cellIs" dxfId="3" priority="61" stopIfTrue="1" operator="equal">
      <formula>"可流转"</formula>
    </cfRule>
  </conditionalFormatting>
  <conditionalFormatting sqref="D127:D128">
    <cfRule type="containsText" dxfId="5" priority="46" operator="between" text="不考核">
      <formula>NOT(ISERROR(SEARCH("不考核",D127)))</formula>
    </cfRule>
    <cfRule type="cellIs" dxfId="3" priority="47" stopIfTrue="1" operator="equal">
      <formula>"可流转"</formula>
    </cfRule>
  </conditionalFormatting>
  <conditionalFormatting sqref="D129:D130">
    <cfRule type="containsText" dxfId="5" priority="32" operator="between" text="不考核">
      <formula>NOT(ISERROR(SEARCH("不考核",D129)))</formula>
    </cfRule>
    <cfRule type="cellIs" dxfId="3" priority="33" stopIfTrue="1" operator="equal">
      <formula>"可流转"</formula>
    </cfRule>
  </conditionalFormatting>
  <conditionalFormatting sqref="D132:D149">
    <cfRule type="containsText" dxfId="5" priority="4" operator="between" text="不考核">
      <formula>NOT(ISERROR(SEARCH("不考核",D132)))</formula>
    </cfRule>
    <cfRule type="cellIs" dxfId="3" priority="5" stopIfTrue="1" operator="equal">
      <formula>"可流转"</formula>
    </cfRule>
  </conditionalFormatting>
  <conditionalFormatting sqref="F2:F149">
    <cfRule type="cellIs" dxfId="3" priority="124" stopIfTrue="1" operator="equal">
      <formula>"可流转"</formula>
    </cfRule>
  </conditionalFormatting>
  <conditionalFormatting sqref="G4:G122">
    <cfRule type="containsText" dxfId="5" priority="106" operator="between" text="不考核">
      <formula>NOT(ISERROR(SEARCH("不考核",G4)))</formula>
    </cfRule>
  </conditionalFormatting>
  <conditionalFormatting sqref="G123:G124">
    <cfRule type="containsText" dxfId="5" priority="77" operator="between" text="不考核">
      <formula>NOT(ISERROR(SEARCH("不考核",G123)))</formula>
    </cfRule>
    <cfRule type="cellIs" dxfId="3" priority="78" stopIfTrue="1" operator="equal">
      <formula>"可流转"</formula>
    </cfRule>
  </conditionalFormatting>
  <conditionalFormatting sqref="G125:G126">
    <cfRule type="containsText" dxfId="5" priority="63" operator="between" text="不考核">
      <formula>NOT(ISERROR(SEARCH("不考核",G125)))</formula>
    </cfRule>
    <cfRule type="cellIs" dxfId="3" priority="64" stopIfTrue="1" operator="equal">
      <formula>"可流转"</formula>
    </cfRule>
  </conditionalFormatting>
  <conditionalFormatting sqref="G127:G128">
    <cfRule type="containsText" dxfId="5" priority="49" operator="between" text="不考核">
      <formula>NOT(ISERROR(SEARCH("不考核",G127)))</formula>
    </cfRule>
    <cfRule type="cellIs" dxfId="3" priority="50" stopIfTrue="1" operator="equal">
      <formula>"可流转"</formula>
    </cfRule>
  </conditionalFormatting>
  <conditionalFormatting sqref="G129:G130">
    <cfRule type="containsText" dxfId="5" priority="35" operator="between" text="不考核">
      <formula>NOT(ISERROR(SEARCH("不考核",G129)))</formula>
    </cfRule>
    <cfRule type="cellIs" dxfId="3" priority="36" stopIfTrue="1" operator="equal">
      <formula>"可流转"</formula>
    </cfRule>
  </conditionalFormatting>
  <conditionalFormatting sqref="G132:G149">
    <cfRule type="containsText" dxfId="5" priority="7" operator="between" text="不考核">
      <formula>NOT(ISERROR(SEARCH("不考核",G132)))</formula>
    </cfRule>
    <cfRule type="cellIs" dxfId="3" priority="8" stopIfTrue="1" operator="equal">
      <formula>"可流转"</formula>
    </cfRule>
  </conditionalFormatting>
  <conditionalFormatting sqref="H11:H122">
    <cfRule type="cellIs" dxfId="1" priority="111" operator="lessThanOrEqual">
      <formula>TODAY()</formula>
    </cfRule>
    <cfRule type="cellIs" dxfId="2" priority="112" operator="lessThan">
      <formula>TODAY()+30</formula>
    </cfRule>
    <cfRule type="cellIs" dxfId="3" priority="113" stopIfTrue="1" operator="equal">
      <formula>"可流转"</formula>
    </cfRule>
  </conditionalFormatting>
  <conditionalFormatting sqref="H123:H124">
    <cfRule type="cellIs" dxfId="1" priority="79" operator="lessThanOrEqual">
      <formula>TODAY()</formula>
    </cfRule>
    <cfRule type="cellIs" dxfId="2" priority="80" operator="lessThan">
      <formula>TODAY()+30</formula>
    </cfRule>
    <cfRule type="cellIs" dxfId="3" priority="81" stopIfTrue="1" operator="equal">
      <formula>"可流转"</formula>
    </cfRule>
  </conditionalFormatting>
  <conditionalFormatting sqref="H125:H126">
    <cfRule type="cellIs" dxfId="1" priority="65" operator="lessThanOrEqual">
      <formula>TODAY()</formula>
    </cfRule>
    <cfRule type="cellIs" dxfId="2" priority="66" operator="lessThan">
      <formula>TODAY()+30</formula>
    </cfRule>
    <cfRule type="cellIs" dxfId="3" priority="67" stopIfTrue="1" operator="equal">
      <formula>"可流转"</formula>
    </cfRule>
  </conditionalFormatting>
  <conditionalFormatting sqref="H127:H128">
    <cfRule type="cellIs" dxfId="1" priority="51" operator="lessThanOrEqual">
      <formula>TODAY()</formula>
    </cfRule>
    <cfRule type="cellIs" dxfId="2" priority="52" operator="lessThan">
      <formula>TODAY()+30</formula>
    </cfRule>
    <cfRule type="cellIs" dxfId="3" priority="53" stopIfTrue="1" operator="equal">
      <formula>"可流转"</formula>
    </cfRule>
  </conditionalFormatting>
  <conditionalFormatting sqref="H129:H130">
    <cfRule type="cellIs" dxfId="1" priority="37" operator="lessThanOrEqual">
      <formula>TODAY()</formula>
    </cfRule>
    <cfRule type="cellIs" dxfId="2" priority="38" operator="lessThan">
      <formula>TODAY()+30</formula>
    </cfRule>
    <cfRule type="cellIs" dxfId="3" priority="39" stopIfTrue="1" operator="equal">
      <formula>"可流转"</formula>
    </cfRule>
  </conditionalFormatting>
  <conditionalFormatting sqref="H132:H149">
    <cfRule type="cellIs" dxfId="1" priority="9" operator="lessThanOrEqual">
      <formula>TODAY()</formula>
    </cfRule>
    <cfRule type="cellIs" dxfId="2" priority="10" operator="lessThan">
      <formula>TODAY()+30</formula>
    </cfRule>
    <cfRule type="cellIs" dxfId="3" priority="11" stopIfTrue="1" operator="equal">
      <formula>"可流转"</formula>
    </cfRule>
  </conditionalFormatting>
  <conditionalFormatting sqref="J123:J124">
    <cfRule type="top10" dxfId="6" priority="82" percent="1" bottom="1" rank="10"/>
  </conditionalFormatting>
  <conditionalFormatting sqref="J125:J126">
    <cfRule type="top10" dxfId="6" priority="68" percent="1" bottom="1" rank="10"/>
  </conditionalFormatting>
  <conditionalFormatting sqref="J127:J128">
    <cfRule type="top10" dxfId="6" priority="54" percent="1" bottom="1" rank="10"/>
  </conditionalFormatting>
  <conditionalFormatting sqref="J129:J130">
    <cfRule type="top10" dxfId="6" priority="40" percent="1" bottom="1" rank="10"/>
  </conditionalFormatting>
  <conditionalFormatting sqref="J132:J149">
    <cfRule type="top10" dxfId="6" priority="12" percent="1" bottom="1" rank="10"/>
  </conditionalFormatting>
  <conditionalFormatting sqref="L2:L122">
    <cfRule type="top10" dxfId="7" priority="126" rank="5"/>
  </conditionalFormatting>
  <conditionalFormatting sqref="L123:L124">
    <cfRule type="top10" dxfId="7" priority="84" rank="5"/>
  </conditionalFormatting>
  <conditionalFormatting sqref="L125:L126">
    <cfRule type="top10" dxfId="7" priority="70" rank="5"/>
  </conditionalFormatting>
  <conditionalFormatting sqref="L127:L128">
    <cfRule type="top10" dxfId="7" priority="56" rank="5"/>
  </conditionalFormatting>
  <conditionalFormatting sqref="L129:L130">
    <cfRule type="top10" dxfId="7" priority="42" rank="5"/>
  </conditionalFormatting>
  <conditionalFormatting sqref="L132:L149">
    <cfRule type="top10" dxfId="7" priority="14" rank="5"/>
  </conditionalFormatting>
  <conditionalFormatting sqref="M2:M122">
    <cfRule type="top10" dxfId="7" priority="131" rank="5"/>
  </conditionalFormatting>
  <conditionalFormatting sqref="M123:M124">
    <cfRule type="top10" dxfId="7" priority="87" rank="5"/>
  </conditionalFormatting>
  <conditionalFormatting sqref="M125:M126">
    <cfRule type="top10" dxfId="7" priority="73" rank="5"/>
  </conditionalFormatting>
  <conditionalFormatting sqref="M127:M128">
    <cfRule type="top10" dxfId="7" priority="59" rank="5"/>
  </conditionalFormatting>
  <conditionalFormatting sqref="M129:M130">
    <cfRule type="top10" dxfId="7" priority="45" rank="5"/>
  </conditionalFormatting>
  <conditionalFormatting sqref="M132:M149">
    <cfRule type="top10" dxfId="7" priority="17" rank="5"/>
  </conditionalFormatting>
  <conditionalFormatting sqref="O2:O122">
    <cfRule type="top10" dxfId="7" priority="127" rank="5"/>
  </conditionalFormatting>
  <conditionalFormatting sqref="O123:O124">
    <cfRule type="top10" dxfId="7" priority="85" rank="5"/>
  </conditionalFormatting>
  <conditionalFormatting sqref="O125:O126">
    <cfRule type="top10" dxfId="7" priority="71" rank="5"/>
  </conditionalFormatting>
  <conditionalFormatting sqref="O127:O128">
    <cfRule type="top10" dxfId="7" priority="57" rank="5"/>
  </conditionalFormatting>
  <conditionalFormatting sqref="O129:O130">
    <cfRule type="top10" dxfId="7" priority="43" rank="5"/>
  </conditionalFormatting>
  <conditionalFormatting sqref="O132:O149">
    <cfRule type="top10" dxfId="7" priority="15" rank="5"/>
  </conditionalFormatting>
  <conditionalFormatting sqref="P2:P122">
    <cfRule type="top10" dxfId="7" priority="130" rank="5"/>
  </conditionalFormatting>
  <conditionalFormatting sqref="P123:P124">
    <cfRule type="top10" dxfId="7" priority="86" rank="5"/>
  </conditionalFormatting>
  <conditionalFormatting sqref="P125:P126">
    <cfRule type="top10" dxfId="7" priority="72" rank="5"/>
  </conditionalFormatting>
  <conditionalFormatting sqref="P127:P128">
    <cfRule type="top10" dxfId="7" priority="58" rank="5"/>
  </conditionalFormatting>
  <conditionalFormatting sqref="P129:P130">
    <cfRule type="top10" dxfId="7" priority="44" rank="5"/>
  </conditionalFormatting>
  <conditionalFormatting sqref="P132:P149">
    <cfRule type="top10" dxfId="7" priority="16" rank="5"/>
  </conditionalFormatting>
  <conditionalFormatting sqref="W2:W149">
    <cfRule type="top10" dxfId="7" priority="3" rank="10"/>
  </conditionalFormatting>
  <conditionalFormatting sqref="Y2:Y149">
    <cfRule type="cellIs" dxfId="9" priority="95" operator="greaterThan">
      <formula>210</formula>
    </cfRule>
  </conditionalFormatting>
  <conditionalFormatting sqref="A1:A3 A5:A6 A33:A35 A38:A58 A76:A83 A100:A121 A130:A133 A150:A65000">
    <cfRule type="duplicateValues" dxfId="0" priority="133"/>
  </conditionalFormatting>
  <conditionalFormatting sqref="G1:G3 G150:G65000">
    <cfRule type="containsText" dxfId="5" priority="134" operator="between" text="不考核">
      <formula>NOT(ISERROR(SEARCH("不考核",G1)))</formula>
    </cfRule>
  </conditionalFormatting>
  <conditionalFormatting sqref="J1:J122 J150:J65121">
    <cfRule type="top10" dxfId="6" priority="123" percent="1" bottom="1" rank="10"/>
  </conditionalFormatting>
  <conditionalFormatting sqref="G2:H3 H5:H6">
    <cfRule type="cellIs" dxfId="3" priority="137" stopIfTrue="1" operator="equal">
      <formula>"可流转"</formula>
    </cfRule>
  </conditionalFormatting>
  <conditionalFormatting sqref="H2:H3 H5:H6">
    <cfRule type="cellIs" dxfId="1" priority="135" operator="lessThanOrEqual">
      <formula>TODAY()</formula>
    </cfRule>
    <cfRule type="cellIs" dxfId="2" priority="136" operator="lessThan">
      <formula>TODAY()+30</formula>
    </cfRule>
  </conditionalFormatting>
  <conditionalFormatting sqref="S2:S76 S84:S85 S97:S99">
    <cfRule type="top10" dxfId="7" priority="129" rank="10"/>
  </conditionalFormatting>
  <conditionalFormatting sqref="U2:U76 U84:U85 U97:U99">
    <cfRule type="top10" dxfId="7" priority="128" rank="10"/>
  </conditionalFormatting>
  <conditionalFormatting sqref="G4:H4 G5:G122">
    <cfRule type="cellIs" dxfId="3" priority="109" stopIfTrue="1" operator="equal">
      <formula>"可流转"</formula>
    </cfRule>
  </conditionalFormatting>
  <conditionalFormatting sqref="A7:A8 A10:A21 A23:A32">
    <cfRule type="duplicateValues" dxfId="0" priority="103"/>
  </conditionalFormatting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9"/>
  <sheetViews>
    <sheetView zoomScale="85" zoomScaleNormal="85" workbookViewId="0">
      <pane xSplit="2" ySplit="2" topLeftCell="C4" activePane="bottomRight" state="frozen"/>
      <selection/>
      <selection pane="topRight"/>
      <selection pane="bottomLeft"/>
      <selection pane="bottomRight" activeCell="D10" sqref="D10"/>
    </sheetView>
  </sheetViews>
  <sheetFormatPr defaultColWidth="9" defaultRowHeight="25" customHeight="1"/>
  <cols>
    <col min="1" max="2" width="9" style="21" customWidth="1"/>
    <col min="3" max="3" width="26.85" style="21" customWidth="1"/>
    <col min="4" max="4" width="13.75" style="21" customWidth="1"/>
    <col min="5" max="8" width="12.625" style="21" customWidth="1"/>
    <col min="9" max="10" width="27.65" style="21" customWidth="1"/>
    <col min="11" max="12" width="11.5" style="21" customWidth="1"/>
    <col min="13" max="14" width="13.75" style="21" customWidth="1"/>
    <col min="15" max="15" width="9.375" style="21" customWidth="1"/>
    <col min="16" max="16" width="17.1416666666667" style="21" customWidth="1"/>
    <col min="17" max="18" width="13.75" style="21" customWidth="1"/>
    <col min="19" max="19" width="26.575" style="21" customWidth="1"/>
    <col min="20" max="25" width="20.375" style="21" customWidth="1"/>
    <col min="26" max="28" width="27.125" style="21" customWidth="1"/>
    <col min="29" max="29" width="15.4166666666667" style="21" customWidth="1"/>
    <col min="30" max="16384" width="9" style="21" customWidth="1"/>
  </cols>
  <sheetData>
    <row r="1" s="21" customFormat="1" ht="15.6" customHeight="1" spans="1:32">
      <c r="A1" s="23"/>
      <c r="B1" s="23"/>
      <c r="C1" s="24" t="s">
        <v>234</v>
      </c>
      <c r="D1" s="25"/>
      <c r="E1" s="25"/>
      <c r="F1" s="25"/>
      <c r="G1" s="25"/>
      <c r="H1" s="26"/>
      <c r="I1" s="24" t="s">
        <v>235</v>
      </c>
      <c r="J1" s="25"/>
      <c r="K1" s="25"/>
      <c r="L1" s="25"/>
      <c r="M1" s="25"/>
      <c r="N1" s="25"/>
      <c r="O1" s="25"/>
      <c r="P1" s="25"/>
      <c r="Q1" s="25"/>
      <c r="R1" s="26"/>
      <c r="S1" s="24" t="s">
        <v>236</v>
      </c>
      <c r="T1" s="25"/>
      <c r="U1" s="25"/>
      <c r="V1" s="25"/>
      <c r="W1" s="25"/>
      <c r="X1" s="25"/>
      <c r="Y1" s="25"/>
      <c r="Z1" s="26"/>
      <c r="AA1" s="24" t="s">
        <v>70</v>
      </c>
      <c r="AB1" s="26"/>
      <c r="AC1" s="24" t="s">
        <v>237</v>
      </c>
      <c r="AD1" s="25"/>
      <c r="AE1" s="25"/>
      <c r="AF1" s="26"/>
    </row>
    <row r="2" s="21" customFormat="1" ht="15.6" customHeight="1" spans="1:32">
      <c r="A2" s="24" t="s">
        <v>32</v>
      </c>
      <c r="B2" s="24" t="s">
        <v>33</v>
      </c>
      <c r="C2" s="27" t="s">
        <v>238</v>
      </c>
      <c r="D2" s="27" t="s">
        <v>239</v>
      </c>
      <c r="E2" s="27" t="s">
        <v>240</v>
      </c>
      <c r="F2" s="27" t="s">
        <v>241</v>
      </c>
      <c r="G2" s="27" t="s">
        <v>242</v>
      </c>
      <c r="H2" s="27" t="s">
        <v>243</v>
      </c>
      <c r="I2" s="28" t="s">
        <v>244</v>
      </c>
      <c r="J2" s="28" t="s">
        <v>245</v>
      </c>
      <c r="K2" s="28" t="s">
        <v>246</v>
      </c>
      <c r="L2" s="28" t="s">
        <v>245</v>
      </c>
      <c r="M2" s="28" t="s">
        <v>247</v>
      </c>
      <c r="N2" s="28" t="s">
        <v>245</v>
      </c>
      <c r="O2" s="28" t="s">
        <v>248</v>
      </c>
      <c r="P2" s="28" t="s">
        <v>245</v>
      </c>
      <c r="Q2" s="28" t="s">
        <v>249</v>
      </c>
      <c r="R2" s="28" t="s">
        <v>245</v>
      </c>
      <c r="S2" s="29" t="s">
        <v>250</v>
      </c>
      <c r="T2" s="29" t="s">
        <v>251</v>
      </c>
      <c r="U2" s="29" t="s">
        <v>252</v>
      </c>
      <c r="V2" s="28" t="s">
        <v>245</v>
      </c>
      <c r="W2" s="29" t="s">
        <v>253</v>
      </c>
      <c r="X2" s="29" t="s">
        <v>251</v>
      </c>
      <c r="Y2" s="29" t="s">
        <v>252</v>
      </c>
      <c r="Z2" s="28" t="s">
        <v>245</v>
      </c>
      <c r="AA2" s="28" t="s">
        <v>254</v>
      </c>
      <c r="AB2" s="24" t="s">
        <v>255</v>
      </c>
      <c r="AC2" s="24" t="s">
        <v>256</v>
      </c>
      <c r="AD2" s="24">
        <v>2023</v>
      </c>
      <c r="AE2" s="24">
        <v>2024</v>
      </c>
      <c r="AF2" s="24">
        <v>2025</v>
      </c>
    </row>
    <row r="3" s="21" customFormat="1" ht="48" customHeight="1" spans="1:32">
      <c r="A3" s="30">
        <v>248320</v>
      </c>
      <c r="B3" s="24" t="s">
        <v>81</v>
      </c>
      <c r="C3" s="27"/>
      <c r="D3" s="27"/>
      <c r="E3" s="27"/>
      <c r="F3" s="27"/>
      <c r="G3" s="27"/>
      <c r="H3" s="27"/>
      <c r="I3" s="28"/>
      <c r="J3" s="28"/>
      <c r="K3" s="28"/>
      <c r="L3" s="28"/>
      <c r="M3" s="28"/>
      <c r="N3" s="28"/>
      <c r="O3" s="28"/>
      <c r="P3" s="28"/>
      <c r="Q3" s="28"/>
      <c r="R3" s="28"/>
      <c r="S3" s="24"/>
      <c r="T3" s="31"/>
      <c r="U3" s="24"/>
      <c r="V3" s="24"/>
      <c r="W3" s="29"/>
      <c r="X3" s="29"/>
      <c r="Y3" s="29"/>
      <c r="Z3" s="28"/>
      <c r="AA3" s="24" t="s">
        <v>257</v>
      </c>
      <c r="AB3" s="24">
        <f>630</f>
        <v>630</v>
      </c>
      <c r="AC3" s="24">
        <f>D3+F3+H3+J3+L3+N3+P3+R3+V3+Z3+AB3</f>
        <v>630</v>
      </c>
      <c r="AD3" s="24"/>
      <c r="AE3" s="24"/>
      <c r="AF3" s="24"/>
    </row>
    <row r="4" s="21" customFormat="1" ht="69" customHeight="1" spans="1:32">
      <c r="A4" s="30">
        <v>248310</v>
      </c>
      <c r="B4" s="24" t="s">
        <v>74</v>
      </c>
      <c r="C4" s="27"/>
      <c r="D4" s="27"/>
      <c r="E4" s="27"/>
      <c r="F4" s="27"/>
      <c r="G4" s="27"/>
      <c r="H4" s="27"/>
      <c r="I4" s="28"/>
      <c r="J4" s="28"/>
      <c r="K4" s="28"/>
      <c r="L4" s="28"/>
      <c r="M4" s="28"/>
      <c r="N4" s="28"/>
      <c r="O4" s="28"/>
      <c r="P4" s="28"/>
      <c r="Q4" s="28"/>
      <c r="R4" s="28"/>
      <c r="S4" s="24"/>
      <c r="T4" s="31"/>
      <c r="U4" s="24"/>
      <c r="V4" s="24"/>
      <c r="W4" s="29"/>
      <c r="X4" s="29"/>
      <c r="Y4" s="29"/>
      <c r="Z4" s="28"/>
      <c r="AA4" s="24" t="s">
        <v>257</v>
      </c>
      <c r="AB4" s="24">
        <f>630</f>
        <v>630</v>
      </c>
      <c r="AC4" s="24">
        <f>D4+F4+H4+J4+L4+N4+P4+R4+V4+Z4+AB4</f>
        <v>630</v>
      </c>
      <c r="AD4" s="24"/>
      <c r="AE4" s="24"/>
      <c r="AF4" s="24"/>
    </row>
    <row r="5" s="21" customFormat="1" ht="54" customHeight="1" spans="1:32">
      <c r="A5" s="32">
        <v>273299</v>
      </c>
      <c r="B5" s="33" t="s">
        <v>90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31"/>
      <c r="U5" s="24"/>
      <c r="V5" s="24"/>
      <c r="W5" s="24" t="s">
        <v>258</v>
      </c>
      <c r="X5" s="31">
        <v>44197</v>
      </c>
      <c r="Y5" s="24">
        <f ca="1" t="shared" ref="Y5:Y7" si="0">DATEDIF(X5,TODAY(),"M")</f>
        <v>60</v>
      </c>
      <c r="Z5" s="24">
        <f ca="1" t="shared" ref="Z5:Z7" si="1">Y5*10</f>
        <v>600</v>
      </c>
      <c r="AA5" s="32" t="s">
        <v>259</v>
      </c>
      <c r="AB5" s="24">
        <f>12</f>
        <v>12</v>
      </c>
      <c r="AC5" s="24">
        <f ca="1">D5+F5+H5+J5+L5+N5+P5+R5+V5+Z5+AB5</f>
        <v>612</v>
      </c>
      <c r="AD5" s="24"/>
      <c r="AE5" s="24"/>
      <c r="AF5" s="24"/>
    </row>
    <row r="6" s="21" customFormat="1" ht="54" customHeight="1" spans="1:32">
      <c r="A6" s="34">
        <v>271943</v>
      </c>
      <c r="B6" s="33" t="s">
        <v>122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31"/>
      <c r="U6" s="24"/>
      <c r="V6" s="24"/>
      <c r="W6" s="24" t="s">
        <v>258</v>
      </c>
      <c r="X6" s="31">
        <v>46023</v>
      </c>
      <c r="Y6" s="24">
        <f ca="1" t="shared" si="0"/>
        <v>0</v>
      </c>
      <c r="Z6" s="24">
        <f ca="1">Y6*5</f>
        <v>0</v>
      </c>
      <c r="AA6" s="32"/>
      <c r="AB6" s="24"/>
      <c r="AC6" s="24"/>
      <c r="AD6" s="24"/>
      <c r="AE6" s="24"/>
      <c r="AF6" s="24"/>
    </row>
    <row r="7" s="21" customFormat="1" ht="54" customHeight="1" spans="1:32">
      <c r="A7" s="35">
        <v>259803</v>
      </c>
      <c r="B7" s="33" t="s">
        <v>260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31"/>
      <c r="U7" s="24"/>
      <c r="V7" s="24"/>
      <c r="W7" s="24" t="s">
        <v>258</v>
      </c>
      <c r="X7" s="31">
        <v>46023</v>
      </c>
      <c r="Y7" s="24">
        <f ca="1" t="shared" si="0"/>
        <v>0</v>
      </c>
      <c r="Z7" s="24">
        <f ca="1">Y7*5</f>
        <v>0</v>
      </c>
      <c r="AA7" s="32"/>
      <c r="AB7" s="24"/>
      <c r="AC7" s="24"/>
      <c r="AD7" s="24"/>
      <c r="AE7" s="24"/>
      <c r="AF7" s="24"/>
    </row>
    <row r="8" s="21" customFormat="1" ht="54" customHeight="1" spans="1:32">
      <c r="A8" s="32"/>
      <c r="B8" s="33" t="s">
        <v>261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31"/>
      <c r="U8" s="24"/>
      <c r="V8" s="24"/>
      <c r="W8" s="24"/>
      <c r="X8" s="31"/>
      <c r="Y8" s="24"/>
      <c r="Z8" s="24"/>
      <c r="AA8" s="32"/>
      <c r="AB8" s="24"/>
      <c r="AC8" s="24"/>
      <c r="AD8" s="24"/>
      <c r="AE8" s="24"/>
      <c r="AF8" s="24"/>
    </row>
    <row r="9" ht="74" customHeight="1" spans="1:32">
      <c r="A9" s="32">
        <v>247692</v>
      </c>
      <c r="B9" s="32" t="s">
        <v>79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 t="s">
        <v>262</v>
      </c>
      <c r="T9" s="31"/>
      <c r="U9" s="24"/>
      <c r="V9" s="24"/>
      <c r="W9" s="24"/>
      <c r="X9" s="24"/>
      <c r="Y9" s="24"/>
      <c r="Z9" s="24"/>
      <c r="AA9" s="24" t="s">
        <v>263</v>
      </c>
      <c r="AB9" s="24">
        <f>554.5</f>
        <v>554.5</v>
      </c>
      <c r="AC9" s="24">
        <f t="shared" ref="AC9:AC17" si="2">D9+F9+H9+J9+L9+N9+P9+R9+V9+Z9+AB9</f>
        <v>554.5</v>
      </c>
      <c r="AD9" s="24"/>
      <c r="AE9" s="24"/>
      <c r="AF9" s="24"/>
    </row>
    <row r="10" ht="54" customHeight="1" spans="1:32">
      <c r="A10" s="30">
        <v>251920</v>
      </c>
      <c r="B10" s="33" t="s">
        <v>77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 t="s">
        <v>262</v>
      </c>
      <c r="T10" s="31"/>
      <c r="U10" s="24"/>
      <c r="V10" s="24"/>
      <c r="W10" s="24"/>
      <c r="X10" s="24"/>
      <c r="Y10" s="24"/>
      <c r="Z10" s="24"/>
      <c r="AA10" s="24" t="s">
        <v>262</v>
      </c>
      <c r="AB10" s="24">
        <f>540</f>
        <v>540</v>
      </c>
      <c r="AC10" s="24">
        <f t="shared" si="2"/>
        <v>540</v>
      </c>
      <c r="AD10" s="24"/>
      <c r="AE10" s="24"/>
      <c r="AF10" s="24"/>
    </row>
    <row r="11" ht="37" customHeight="1" spans="1:32">
      <c r="A11" s="33">
        <v>260944</v>
      </c>
      <c r="B11" s="33" t="s">
        <v>83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 t="s">
        <v>258</v>
      </c>
      <c r="X11" s="31">
        <v>44743</v>
      </c>
      <c r="Y11" s="24">
        <f ca="1">DATEDIF(X11,TODAY(),"M")</f>
        <v>42</v>
      </c>
      <c r="Z11" s="24">
        <f ca="1">Y11*5</f>
        <v>210</v>
      </c>
      <c r="AA11" s="32" t="s">
        <v>264</v>
      </c>
      <c r="AB11" s="24">
        <v>12</v>
      </c>
      <c r="AC11" s="24">
        <f ca="1" t="shared" si="2"/>
        <v>222</v>
      </c>
      <c r="AD11" s="24"/>
      <c r="AE11" s="24"/>
      <c r="AF11" s="24"/>
    </row>
    <row r="12" spans="1:32">
      <c r="A12" s="32">
        <v>262062</v>
      </c>
      <c r="B12" s="33" t="s">
        <v>92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 t="s">
        <v>258</v>
      </c>
      <c r="X12" s="31">
        <v>44927</v>
      </c>
      <c r="Y12" s="24">
        <f ca="1">DATEDIF(X12,TODAY(),"M")</f>
        <v>36</v>
      </c>
      <c r="Z12" s="24">
        <f ca="1">Y12*5</f>
        <v>180</v>
      </c>
      <c r="AA12" s="32" t="s">
        <v>265</v>
      </c>
      <c r="AB12" s="24">
        <v>12</v>
      </c>
      <c r="AC12" s="24">
        <f ca="1" t="shared" si="2"/>
        <v>192</v>
      </c>
      <c r="AD12" s="24"/>
      <c r="AE12" s="24"/>
      <c r="AF12" s="24"/>
    </row>
    <row r="13" s="22" customFormat="1" ht="55" customHeight="1" spans="1:32">
      <c r="A13" s="36">
        <v>247704</v>
      </c>
      <c r="B13" s="37" t="s">
        <v>85</v>
      </c>
      <c r="C13" s="38"/>
      <c r="D13" s="38"/>
      <c r="E13" s="38"/>
      <c r="F13" s="38"/>
      <c r="G13" s="38"/>
      <c r="H13" s="38"/>
      <c r="I13" s="38"/>
      <c r="J13" s="38"/>
      <c r="K13" s="38" t="s">
        <v>266</v>
      </c>
      <c r="L13" s="38">
        <v>120</v>
      </c>
      <c r="M13" s="38"/>
      <c r="N13" s="38"/>
      <c r="O13" s="38" t="s">
        <v>267</v>
      </c>
      <c r="P13" s="38">
        <v>30</v>
      </c>
      <c r="Q13" s="38"/>
      <c r="R13" s="38"/>
      <c r="S13" s="38" t="s">
        <v>268</v>
      </c>
      <c r="T13" s="39">
        <v>44774</v>
      </c>
      <c r="U13" s="38">
        <f ca="1">DATEDIF(T13,TODAY(),"M")</f>
        <v>41</v>
      </c>
      <c r="V13" s="38">
        <f ca="1">U13*5</f>
        <v>205</v>
      </c>
      <c r="W13" s="38" t="s">
        <v>269</v>
      </c>
      <c r="X13" s="39">
        <v>44927</v>
      </c>
      <c r="Y13" s="38">
        <f ca="1">DATEDIF(X13,TODAY(),"M")</f>
        <v>36</v>
      </c>
      <c r="Z13" s="38">
        <f ca="1">1*Y13</f>
        <v>36</v>
      </c>
      <c r="AA13" s="36" t="s">
        <v>270</v>
      </c>
      <c r="AB13" s="38">
        <v>20</v>
      </c>
      <c r="AC13" s="38">
        <f ca="1" t="shared" si="2"/>
        <v>411</v>
      </c>
      <c r="AD13" s="38"/>
      <c r="AE13" s="38"/>
      <c r="AF13" s="38"/>
    </row>
    <row r="14" ht="54" customHeight="1" spans="1:32">
      <c r="A14" s="32">
        <v>258463</v>
      </c>
      <c r="B14" s="33" t="s">
        <v>91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 t="s">
        <v>271</v>
      </c>
      <c r="T14" s="31">
        <v>45383</v>
      </c>
      <c r="U14" s="24">
        <f ca="1">DATEDIF(T14,TODAY(),"M")</f>
        <v>21</v>
      </c>
      <c r="V14" s="24">
        <f ca="1">U14*10+21*5</f>
        <v>315</v>
      </c>
      <c r="W14" s="24"/>
      <c r="X14" s="24"/>
      <c r="Y14" s="24"/>
      <c r="Z14" s="24"/>
      <c r="AA14" s="32" t="s">
        <v>272</v>
      </c>
      <c r="AB14" s="24">
        <v>13</v>
      </c>
      <c r="AC14" s="24">
        <f ca="1" t="shared" si="2"/>
        <v>328</v>
      </c>
      <c r="AD14" s="24"/>
      <c r="AE14" s="24"/>
      <c r="AF14" s="24"/>
    </row>
    <row r="15" ht="89" customHeight="1" spans="1:32">
      <c r="A15" s="32">
        <v>263416</v>
      </c>
      <c r="B15" s="33" t="s">
        <v>94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 t="s">
        <v>268</v>
      </c>
      <c r="T15" s="31">
        <v>45170</v>
      </c>
      <c r="U15" s="24">
        <f ca="1">DATEDIF(T15,TODAY(),"M")</f>
        <v>28</v>
      </c>
      <c r="V15" s="24">
        <f ca="1">U15*5</f>
        <v>140</v>
      </c>
      <c r="W15" s="24"/>
      <c r="X15" s="24"/>
      <c r="Y15" s="24"/>
      <c r="Z15" s="24"/>
      <c r="AA15" s="33" t="s">
        <v>273</v>
      </c>
      <c r="AB15" s="24">
        <v>8.5</v>
      </c>
      <c r="AC15" s="24">
        <f ca="1" t="shared" si="2"/>
        <v>148.5</v>
      </c>
      <c r="AD15" s="24"/>
      <c r="AE15" s="24"/>
      <c r="AF15" s="24"/>
    </row>
    <row r="16" ht="15.6" spans="1:32">
      <c r="A16" s="32">
        <v>248907</v>
      </c>
      <c r="B16" s="33" t="s">
        <v>87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 t="s">
        <v>268</v>
      </c>
      <c r="T16" s="31">
        <v>45170</v>
      </c>
      <c r="U16" s="24">
        <f ca="1">DATEDIF(T16,TODAY(),"M")</f>
        <v>28</v>
      </c>
      <c r="V16" s="24">
        <f ca="1">U16*5</f>
        <v>140</v>
      </c>
      <c r="W16" s="38" t="s">
        <v>269</v>
      </c>
      <c r="X16" s="24"/>
      <c r="Y16" s="24"/>
      <c r="Z16" s="24">
        <v>8</v>
      </c>
      <c r="AA16" s="33" t="s">
        <v>274</v>
      </c>
      <c r="AB16" s="24">
        <v>2</v>
      </c>
      <c r="AC16" s="24">
        <f ca="1" t="shared" si="2"/>
        <v>150</v>
      </c>
      <c r="AD16" s="24"/>
      <c r="AE16" s="24"/>
      <c r="AF16" s="24"/>
    </row>
    <row r="17" ht="15.6" customHeight="1" spans="1:32">
      <c r="A17" s="24">
        <v>265822</v>
      </c>
      <c r="B17" s="33" t="s">
        <v>112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 t="s">
        <v>258</v>
      </c>
      <c r="X17" s="31">
        <v>45078</v>
      </c>
      <c r="Y17" s="24">
        <f ca="1">DATEDIF(X17,TODAY(),"M")</f>
        <v>31</v>
      </c>
      <c r="Z17" s="24">
        <f ca="1">Y17*5</f>
        <v>155</v>
      </c>
      <c r="AA17" s="33" t="s">
        <v>275</v>
      </c>
      <c r="AB17" s="24">
        <v>6</v>
      </c>
      <c r="AC17" s="24">
        <f ca="1" t="shared" si="2"/>
        <v>161</v>
      </c>
      <c r="AD17" s="24"/>
      <c r="AE17" s="24"/>
      <c r="AF17" s="24"/>
    </row>
    <row r="18" ht="15.6" spans="1:32">
      <c r="A18" s="32">
        <v>265801</v>
      </c>
      <c r="B18" s="33" t="s">
        <v>96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32" t="s">
        <v>276</v>
      </c>
      <c r="AB18" s="24">
        <v>4</v>
      </c>
      <c r="AC18" s="24">
        <f t="shared" ref="AC18:AC29" si="3">D18+F18+H18+J18+L18+N18+P18+R18+V18+Z18+AB18</f>
        <v>4</v>
      </c>
      <c r="AD18" s="24"/>
      <c r="AE18" s="24"/>
      <c r="AF18" s="24"/>
    </row>
    <row r="19" ht="15.6" spans="1:32">
      <c r="A19" s="40" t="s">
        <v>277</v>
      </c>
      <c r="B19" s="41" t="s">
        <v>101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32" t="s">
        <v>278</v>
      </c>
      <c r="AB19" s="24">
        <v>12</v>
      </c>
      <c r="AC19" s="24">
        <f t="shared" si="3"/>
        <v>12</v>
      </c>
      <c r="AD19" s="24"/>
      <c r="AE19" s="24"/>
      <c r="AF19" s="24"/>
    </row>
    <row r="20" ht="15.6" spans="1:32">
      <c r="A20" s="32">
        <v>257603</v>
      </c>
      <c r="B20" s="33" t="s">
        <v>102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33" t="s">
        <v>278</v>
      </c>
      <c r="AB20" s="24">
        <v>8</v>
      </c>
      <c r="AC20" s="24">
        <f t="shared" si="3"/>
        <v>8</v>
      </c>
      <c r="AD20" s="24"/>
      <c r="AE20" s="24"/>
      <c r="AF20" s="24"/>
    </row>
    <row r="21" ht="15.6" spans="1:32">
      <c r="A21" s="32">
        <v>230397</v>
      </c>
      <c r="B21" s="33" t="s">
        <v>104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32" t="s">
        <v>279</v>
      </c>
      <c r="AB21" s="24">
        <v>1</v>
      </c>
      <c r="AC21" s="24">
        <f t="shared" si="3"/>
        <v>1</v>
      </c>
      <c r="AD21" s="24"/>
      <c r="AE21" s="24"/>
      <c r="AF21" s="24"/>
    </row>
    <row r="22" ht="15.6" spans="1:32">
      <c r="A22" s="32">
        <v>253781</v>
      </c>
      <c r="B22" s="33" t="s">
        <v>119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32" t="s">
        <v>280</v>
      </c>
      <c r="AB22" s="24">
        <v>1</v>
      </c>
      <c r="AC22" s="24">
        <f t="shared" si="3"/>
        <v>1</v>
      </c>
      <c r="AD22" s="24"/>
      <c r="AE22" s="24"/>
      <c r="AF22" s="24"/>
    </row>
    <row r="23" ht="15.6" spans="1:32">
      <c r="A23" s="32">
        <v>257606</v>
      </c>
      <c r="B23" s="33" t="s">
        <v>98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32" t="s">
        <v>281</v>
      </c>
      <c r="AB23" s="24">
        <v>5</v>
      </c>
      <c r="AC23" s="24">
        <f t="shared" si="3"/>
        <v>5</v>
      </c>
      <c r="AD23" s="24"/>
      <c r="AE23" s="24"/>
      <c r="AF23" s="24"/>
    </row>
    <row r="24" ht="78" customHeight="1" spans="1:32">
      <c r="A24" s="32">
        <v>279511</v>
      </c>
      <c r="B24" s="33" t="s">
        <v>142</v>
      </c>
      <c r="C24" s="24" t="s">
        <v>282</v>
      </c>
      <c r="D24" s="24">
        <v>10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1" t="s">
        <v>283</v>
      </c>
      <c r="T24" s="24"/>
      <c r="U24" s="24"/>
      <c r="V24" s="24">
        <v>5</v>
      </c>
      <c r="W24" s="24"/>
      <c r="X24" s="24"/>
      <c r="Y24" s="24"/>
      <c r="Z24" s="24"/>
      <c r="AA24" s="33" t="s">
        <v>278</v>
      </c>
      <c r="AB24" s="24">
        <v>4</v>
      </c>
      <c r="AC24" s="24">
        <f t="shared" si="3"/>
        <v>19</v>
      </c>
      <c r="AD24" s="24"/>
      <c r="AE24" s="24"/>
      <c r="AF24" s="24"/>
    </row>
    <row r="25" ht="42" customHeight="1" spans="1:32">
      <c r="A25" s="24">
        <v>284046</v>
      </c>
      <c r="B25" s="24" t="s">
        <v>136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 t="s">
        <v>284</v>
      </c>
      <c r="T25" s="24"/>
      <c r="U25" s="24"/>
      <c r="V25" s="24">
        <v>15</v>
      </c>
      <c r="W25" s="24"/>
      <c r="X25" s="24"/>
      <c r="Y25" s="24"/>
      <c r="Z25" s="24"/>
      <c r="AA25" s="24"/>
      <c r="AB25" s="24"/>
      <c r="AC25" s="24">
        <f t="shared" si="3"/>
        <v>15</v>
      </c>
      <c r="AD25" s="24"/>
      <c r="AE25" s="24"/>
      <c r="AF25" s="24"/>
    </row>
    <row r="26" ht="36" customHeight="1" spans="1:32">
      <c r="A26" s="24">
        <v>253776</v>
      </c>
      <c r="B26" s="24" t="s">
        <v>107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 t="s">
        <v>285</v>
      </c>
      <c r="P26" s="24">
        <v>5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>
        <f t="shared" si="3"/>
        <v>5</v>
      </c>
      <c r="AD26" s="24"/>
      <c r="AE26" s="24"/>
      <c r="AF26" s="24"/>
    </row>
    <row r="27" customHeight="1" spans="1:32">
      <c r="A27" s="24">
        <v>266461</v>
      </c>
      <c r="B27" s="24" t="s">
        <v>184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 t="s">
        <v>283</v>
      </c>
      <c r="T27" s="24"/>
      <c r="U27" s="24"/>
      <c r="V27" s="24">
        <v>5</v>
      </c>
      <c r="W27" s="24"/>
      <c r="X27" s="24"/>
      <c r="Y27" s="24"/>
      <c r="Z27" s="24"/>
      <c r="AA27" s="24"/>
      <c r="AB27" s="24"/>
      <c r="AC27" s="24">
        <f t="shared" si="3"/>
        <v>5</v>
      </c>
      <c r="AD27" s="24"/>
      <c r="AE27" s="24"/>
      <c r="AF27" s="24"/>
    </row>
    <row r="28" customHeight="1" spans="1:32">
      <c r="A28" s="24">
        <v>258455</v>
      </c>
      <c r="B28" s="24" t="s">
        <v>113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 t="s">
        <v>283</v>
      </c>
      <c r="T28" s="24"/>
      <c r="U28" s="24"/>
      <c r="V28" s="24">
        <v>5</v>
      </c>
      <c r="W28" s="24"/>
      <c r="X28" s="24"/>
      <c r="Y28" s="24"/>
      <c r="Z28" s="24"/>
      <c r="AA28" s="24"/>
      <c r="AB28" s="24"/>
      <c r="AC28" s="24">
        <f t="shared" si="3"/>
        <v>5</v>
      </c>
      <c r="AD28" s="24"/>
      <c r="AE28" s="24"/>
      <c r="AF28" s="24"/>
    </row>
    <row r="29" customHeight="1" spans="1:32">
      <c r="A29" s="24">
        <v>272821</v>
      </c>
      <c r="B29" s="24" t="s">
        <v>193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 t="s">
        <v>283</v>
      </c>
      <c r="T29" s="24"/>
      <c r="U29" s="24"/>
      <c r="V29" s="24">
        <v>5</v>
      </c>
      <c r="W29" s="24"/>
      <c r="X29" s="24"/>
      <c r="Y29" s="24"/>
      <c r="Z29" s="24"/>
      <c r="AA29" s="24"/>
      <c r="AB29" s="24"/>
      <c r="AC29" s="24">
        <f t="shared" si="3"/>
        <v>5</v>
      </c>
      <c r="AD29" s="24"/>
      <c r="AE29" s="24"/>
      <c r="AF29" s="24"/>
    </row>
  </sheetData>
  <mergeCells count="5">
    <mergeCell ref="C1:H1"/>
    <mergeCell ref="I1:R1"/>
    <mergeCell ref="S1:Z1"/>
    <mergeCell ref="AA1:AB1"/>
    <mergeCell ref="AC1:AF1"/>
  </mergeCells>
  <conditionalFormatting sqref="A3">
    <cfRule type="duplicateValues" dxfId="0" priority="13"/>
  </conditionalFormatting>
  <conditionalFormatting sqref="A4">
    <cfRule type="duplicateValues" dxfId="0" priority="12"/>
  </conditionalFormatting>
  <conditionalFormatting sqref="A6">
    <cfRule type="duplicateValues" dxfId="0" priority="1"/>
  </conditionalFormatting>
  <conditionalFormatting sqref="A10">
    <cfRule type="duplicateValues" dxfId="0" priority="11"/>
  </conditionalFormatting>
  <conditionalFormatting sqref="B15">
    <cfRule type="duplicateValues" dxfId="8" priority="15"/>
  </conditionalFormatting>
  <conditionalFormatting sqref="B17">
    <cfRule type="duplicateValues" dxfId="8" priority="3"/>
  </conditionalFormatting>
  <conditionalFormatting sqref="A19">
    <cfRule type="duplicateValues" dxfId="0" priority="20"/>
  </conditionalFormatting>
  <conditionalFormatting sqref="B5:B14 B16 B18:B26">
    <cfRule type="duplicateValues" dxfId="8" priority="27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4"/>
  <sheetViews>
    <sheetView workbookViewId="0">
      <selection activeCell="D16" sqref="D16"/>
    </sheetView>
  </sheetViews>
  <sheetFormatPr defaultColWidth="9" defaultRowHeight="15.6" outlineLevelCol="1"/>
  <cols>
    <col min="1" max="2" width="8" style="19" customWidth="1"/>
  </cols>
  <sheetData>
    <row r="1" spans="1:2">
      <c r="A1" s="19" t="s">
        <v>33</v>
      </c>
      <c r="B1" s="19" t="s">
        <v>286</v>
      </c>
    </row>
    <row r="2" spans="1:2">
      <c r="A2" s="20" t="s">
        <v>139</v>
      </c>
      <c r="B2" s="20">
        <v>6280.44</v>
      </c>
    </row>
    <row r="3" spans="1:2">
      <c r="A3" s="20" t="s">
        <v>287</v>
      </c>
      <c r="B3" s="20">
        <v>3426.18</v>
      </c>
    </row>
    <row r="4" spans="1:2">
      <c r="A4" s="20" t="s">
        <v>128</v>
      </c>
      <c r="B4" s="20">
        <v>6372.06</v>
      </c>
    </row>
    <row r="5" spans="1:2">
      <c r="A5" s="20" t="s">
        <v>288</v>
      </c>
      <c r="B5" s="20">
        <v>4541.54</v>
      </c>
    </row>
    <row r="6" spans="1:2">
      <c r="A6" s="20" t="s">
        <v>104</v>
      </c>
      <c r="B6" s="20">
        <v>2868.04</v>
      </c>
    </row>
    <row r="7" spans="1:2">
      <c r="A7" s="20" t="s">
        <v>101</v>
      </c>
      <c r="B7" s="20">
        <v>3363</v>
      </c>
    </row>
    <row r="8" spans="1:2">
      <c r="A8" s="20" t="s">
        <v>99</v>
      </c>
      <c r="B8" s="20">
        <v>3037.13</v>
      </c>
    </row>
    <row r="9" spans="1:2">
      <c r="A9" s="20" t="s">
        <v>110</v>
      </c>
      <c r="B9" s="20">
        <v>2099.32</v>
      </c>
    </row>
    <row r="10" spans="1:2">
      <c r="A10" s="20" t="s">
        <v>79</v>
      </c>
      <c r="B10" s="20">
        <v>2924.28</v>
      </c>
    </row>
    <row r="11" spans="1:2">
      <c r="A11" s="20" t="s">
        <v>121</v>
      </c>
      <c r="B11" s="20">
        <v>2255.32</v>
      </c>
    </row>
    <row r="12" spans="1:2">
      <c r="A12" s="20" t="s">
        <v>85</v>
      </c>
      <c r="B12" s="20">
        <v>2913.54</v>
      </c>
    </row>
    <row r="13" spans="1:2">
      <c r="A13" s="20" t="s">
        <v>74</v>
      </c>
      <c r="B13" s="20">
        <v>2742.08</v>
      </c>
    </row>
    <row r="14" spans="1:2">
      <c r="A14" s="20" t="s">
        <v>100</v>
      </c>
      <c r="B14" s="20">
        <v>2630.29</v>
      </c>
    </row>
    <row r="15" spans="1:2">
      <c r="A15" s="20" t="s">
        <v>81</v>
      </c>
      <c r="B15" s="20">
        <v>2758.42</v>
      </c>
    </row>
    <row r="16" spans="1:2">
      <c r="A16" s="20" t="s">
        <v>97</v>
      </c>
      <c r="B16" s="20">
        <v>2640.17</v>
      </c>
    </row>
    <row r="17" spans="1:2">
      <c r="A17" s="20" t="s">
        <v>87</v>
      </c>
      <c r="B17" s="20">
        <v>2721.23</v>
      </c>
    </row>
    <row r="18" spans="1:2">
      <c r="A18" s="20" t="s">
        <v>114</v>
      </c>
      <c r="B18" s="20">
        <v>2321.16</v>
      </c>
    </row>
    <row r="19" spans="1:2">
      <c r="A19" s="20" t="s">
        <v>77</v>
      </c>
      <c r="B19" s="20">
        <v>2590.03</v>
      </c>
    </row>
    <row r="20" spans="1:2">
      <c r="A20" s="20" t="s">
        <v>95</v>
      </c>
      <c r="B20" s="20">
        <v>2559.43</v>
      </c>
    </row>
    <row r="21" spans="1:2">
      <c r="A21" s="20" t="s">
        <v>103</v>
      </c>
      <c r="B21" s="20">
        <v>2287.02</v>
      </c>
    </row>
    <row r="22" spans="1:2">
      <c r="A22" s="20" t="s">
        <v>107</v>
      </c>
      <c r="B22" s="20">
        <v>2321.23</v>
      </c>
    </row>
    <row r="23" spans="1:2">
      <c r="A23" s="20" t="s">
        <v>119</v>
      </c>
      <c r="B23" s="20">
        <v>2404.41</v>
      </c>
    </row>
    <row r="24" spans="1:2">
      <c r="A24" s="20" t="s">
        <v>102</v>
      </c>
      <c r="B24" s="20">
        <v>2452.42</v>
      </c>
    </row>
    <row r="25" spans="1:2">
      <c r="A25" s="20" t="s">
        <v>98</v>
      </c>
      <c r="B25" s="20">
        <v>2342.37</v>
      </c>
    </row>
    <row r="26" spans="1:2">
      <c r="A26" s="20" t="s">
        <v>151</v>
      </c>
      <c r="B26" s="20">
        <v>1335.26</v>
      </c>
    </row>
    <row r="27" spans="1:2">
      <c r="A27" s="20" t="s">
        <v>108</v>
      </c>
      <c r="B27" s="20">
        <v>2123.46</v>
      </c>
    </row>
    <row r="28" spans="1:2">
      <c r="A28" s="20" t="s">
        <v>113</v>
      </c>
      <c r="B28" s="20">
        <v>1885.18</v>
      </c>
    </row>
    <row r="29" spans="1:2">
      <c r="A29" s="20" t="s">
        <v>91</v>
      </c>
      <c r="B29" s="20">
        <v>2481.55</v>
      </c>
    </row>
    <row r="30" spans="1:2">
      <c r="A30" s="20" t="s">
        <v>127</v>
      </c>
      <c r="B30" s="20">
        <v>2375.35</v>
      </c>
    </row>
    <row r="31" spans="1:2">
      <c r="A31" s="20" t="s">
        <v>118</v>
      </c>
      <c r="B31" s="20">
        <v>1607.42</v>
      </c>
    </row>
    <row r="32" spans="1:2">
      <c r="A32" s="20" t="s">
        <v>120</v>
      </c>
      <c r="B32" s="20">
        <v>1914.39</v>
      </c>
    </row>
    <row r="33" spans="1:2">
      <c r="A33" s="20" t="s">
        <v>89</v>
      </c>
      <c r="B33" s="20">
        <v>2328.34</v>
      </c>
    </row>
    <row r="34" spans="1:2">
      <c r="A34" s="20" t="s">
        <v>93</v>
      </c>
      <c r="B34" s="20">
        <v>2098.26</v>
      </c>
    </row>
    <row r="35" spans="1:2">
      <c r="A35" s="20" t="s">
        <v>83</v>
      </c>
      <c r="B35" s="20">
        <v>2240.21</v>
      </c>
    </row>
    <row r="36" spans="1:2">
      <c r="A36" s="20" t="s">
        <v>117</v>
      </c>
      <c r="B36" s="20">
        <v>2219.41</v>
      </c>
    </row>
    <row r="37" spans="1:2">
      <c r="A37" s="20" t="s">
        <v>105</v>
      </c>
      <c r="B37" s="20">
        <v>1850.56</v>
      </c>
    </row>
    <row r="38" spans="1:2">
      <c r="A38" s="20" t="s">
        <v>154</v>
      </c>
      <c r="B38" s="20">
        <v>1967.4</v>
      </c>
    </row>
    <row r="39" spans="1:2">
      <c r="A39" s="20" t="s">
        <v>92</v>
      </c>
      <c r="B39" s="20">
        <v>2335.41</v>
      </c>
    </row>
    <row r="40" spans="1:2">
      <c r="A40" s="20" t="s">
        <v>94</v>
      </c>
      <c r="B40" s="20">
        <v>2074.19</v>
      </c>
    </row>
    <row r="41" spans="1:2">
      <c r="A41" s="20" t="s">
        <v>135</v>
      </c>
      <c r="B41" s="20">
        <v>2120.55</v>
      </c>
    </row>
    <row r="42" spans="1:2">
      <c r="A42" s="20" t="s">
        <v>111</v>
      </c>
      <c r="B42" s="20">
        <v>2040.45</v>
      </c>
    </row>
    <row r="43" spans="1:2">
      <c r="A43" s="20" t="s">
        <v>96</v>
      </c>
      <c r="B43" s="20">
        <v>1994.55</v>
      </c>
    </row>
    <row r="44" spans="1:2">
      <c r="A44" s="20" t="s">
        <v>116</v>
      </c>
      <c r="B44" s="20">
        <v>2047.48</v>
      </c>
    </row>
    <row r="45" spans="1:2">
      <c r="A45" s="20" t="s">
        <v>106</v>
      </c>
      <c r="B45" s="20">
        <v>2175.36</v>
      </c>
    </row>
    <row r="46" spans="1:2">
      <c r="A46" s="20" t="s">
        <v>112</v>
      </c>
      <c r="B46" s="20">
        <v>1436.31</v>
      </c>
    </row>
    <row r="47" spans="1:2">
      <c r="A47" s="20" t="s">
        <v>109</v>
      </c>
      <c r="B47" s="20">
        <v>1872.08</v>
      </c>
    </row>
    <row r="48" spans="1:2">
      <c r="A48" s="20" t="s">
        <v>124</v>
      </c>
      <c r="B48" s="20">
        <v>1476.44</v>
      </c>
    </row>
    <row r="49" spans="1:2">
      <c r="A49" s="20" t="s">
        <v>159</v>
      </c>
      <c r="B49" s="20">
        <v>1162.48</v>
      </c>
    </row>
    <row r="50" spans="1:2">
      <c r="A50" s="20" t="s">
        <v>123</v>
      </c>
      <c r="B50" s="20">
        <v>1604.05</v>
      </c>
    </row>
    <row r="51" spans="1:2">
      <c r="A51" s="20" t="s">
        <v>129</v>
      </c>
      <c r="B51" s="20">
        <v>1224.18</v>
      </c>
    </row>
    <row r="52" spans="1:2">
      <c r="A52" s="20" t="s">
        <v>125</v>
      </c>
      <c r="B52" s="20">
        <v>1622.5</v>
      </c>
    </row>
    <row r="53" spans="1:2">
      <c r="A53" s="20" t="s">
        <v>122</v>
      </c>
      <c r="B53" s="20">
        <v>1702.39</v>
      </c>
    </row>
    <row r="54" spans="1:2">
      <c r="A54" s="20" t="s">
        <v>158</v>
      </c>
      <c r="B54" s="20">
        <v>1286.06</v>
      </c>
    </row>
    <row r="55" spans="1:2">
      <c r="A55" s="20" t="s">
        <v>289</v>
      </c>
      <c r="B55" s="20">
        <v>1136.5</v>
      </c>
    </row>
    <row r="56" spans="1:2">
      <c r="A56" s="20" t="s">
        <v>130</v>
      </c>
      <c r="B56" s="20">
        <v>1259.54</v>
      </c>
    </row>
    <row r="57" spans="1:2">
      <c r="A57" s="20" t="s">
        <v>90</v>
      </c>
      <c r="B57" s="20">
        <v>1751.58</v>
      </c>
    </row>
    <row r="58" spans="1:2">
      <c r="A58" s="20" t="s">
        <v>143</v>
      </c>
      <c r="B58" s="20">
        <v>1716.51</v>
      </c>
    </row>
    <row r="59" spans="1:2">
      <c r="A59" s="20" t="s">
        <v>140</v>
      </c>
      <c r="B59" s="20">
        <v>859.01</v>
      </c>
    </row>
    <row r="60" spans="1:2">
      <c r="A60" s="20" t="s">
        <v>137</v>
      </c>
      <c r="B60" s="20">
        <v>1113.31</v>
      </c>
    </row>
    <row r="61" spans="1:2">
      <c r="A61" s="20" t="s">
        <v>149</v>
      </c>
      <c r="B61" s="20">
        <v>907.5</v>
      </c>
    </row>
    <row r="62" spans="1:2">
      <c r="A62" s="20" t="s">
        <v>160</v>
      </c>
      <c r="B62" s="20">
        <v>1084.02</v>
      </c>
    </row>
    <row r="63" spans="1:2">
      <c r="A63" s="20" t="s">
        <v>155</v>
      </c>
      <c r="B63" s="20">
        <v>1285.2</v>
      </c>
    </row>
    <row r="64" spans="1:2">
      <c r="A64" s="20" t="s">
        <v>290</v>
      </c>
      <c r="B64" s="20">
        <v>1093.26</v>
      </c>
    </row>
    <row r="65" spans="1:2">
      <c r="A65" s="20" t="s">
        <v>291</v>
      </c>
      <c r="B65" s="20">
        <v>1129.2</v>
      </c>
    </row>
    <row r="66" spans="1:2">
      <c r="A66" s="20" t="s">
        <v>292</v>
      </c>
      <c r="B66" s="20">
        <v>1028.17</v>
      </c>
    </row>
    <row r="67" spans="1:2">
      <c r="A67" s="20" t="s">
        <v>144</v>
      </c>
      <c r="B67" s="20">
        <v>797.23</v>
      </c>
    </row>
    <row r="68" spans="1:2">
      <c r="A68" s="20" t="s">
        <v>293</v>
      </c>
      <c r="B68" s="20">
        <v>1114.42</v>
      </c>
    </row>
    <row r="69" spans="1:2">
      <c r="A69" s="20" t="s">
        <v>131</v>
      </c>
      <c r="B69" s="20">
        <v>1136.51</v>
      </c>
    </row>
    <row r="70" spans="1:2">
      <c r="A70" s="20" t="s">
        <v>142</v>
      </c>
      <c r="B70" s="20">
        <v>1160.43</v>
      </c>
    </row>
    <row r="71" spans="1:2">
      <c r="A71" s="20" t="s">
        <v>126</v>
      </c>
      <c r="B71" s="20">
        <v>1268.29</v>
      </c>
    </row>
    <row r="72" spans="1:2">
      <c r="A72" s="20" t="s">
        <v>134</v>
      </c>
      <c r="B72" s="20">
        <v>652.4</v>
      </c>
    </row>
    <row r="73" spans="1:2">
      <c r="A73" s="20" t="s">
        <v>145</v>
      </c>
      <c r="B73" s="20">
        <v>821.19</v>
      </c>
    </row>
    <row r="74" spans="1:2">
      <c r="A74" s="20" t="s">
        <v>294</v>
      </c>
      <c r="B74" s="20">
        <v>983.4</v>
      </c>
    </row>
    <row r="75" spans="1:2">
      <c r="A75" s="20" t="s">
        <v>295</v>
      </c>
      <c r="B75" s="20">
        <v>923.5</v>
      </c>
    </row>
    <row r="76" spans="1:2">
      <c r="A76" s="20" t="s">
        <v>296</v>
      </c>
      <c r="B76" s="20">
        <v>1003</v>
      </c>
    </row>
    <row r="77" spans="1:2">
      <c r="A77" s="20" t="s">
        <v>150</v>
      </c>
      <c r="B77" s="20">
        <v>678.26</v>
      </c>
    </row>
    <row r="78" spans="1:2">
      <c r="A78" s="20" t="s">
        <v>132</v>
      </c>
      <c r="B78" s="20">
        <v>1163.26</v>
      </c>
    </row>
    <row r="79" spans="1:2">
      <c r="A79" s="20" t="s">
        <v>147</v>
      </c>
      <c r="B79" s="20">
        <v>679.33</v>
      </c>
    </row>
    <row r="80" spans="1:2">
      <c r="A80" s="20" t="s">
        <v>141</v>
      </c>
      <c r="B80" s="20">
        <v>1297.3</v>
      </c>
    </row>
    <row r="81" spans="1:2">
      <c r="A81" s="20" t="s">
        <v>136</v>
      </c>
      <c r="B81" s="20">
        <v>927.13</v>
      </c>
    </row>
    <row r="82" spans="1:2">
      <c r="A82" s="20" t="s">
        <v>161</v>
      </c>
      <c r="B82" s="20">
        <v>804.43</v>
      </c>
    </row>
    <row r="83" spans="1:2">
      <c r="A83" s="20" t="s">
        <v>152</v>
      </c>
      <c r="B83" s="20">
        <v>646.2</v>
      </c>
    </row>
    <row r="84" spans="1:2">
      <c r="A84" s="20" t="s">
        <v>148</v>
      </c>
      <c r="B84" s="20">
        <v>638.11</v>
      </c>
    </row>
    <row r="85" spans="1:2">
      <c r="A85" s="20" t="s">
        <v>138</v>
      </c>
      <c r="B85" s="20">
        <v>551.47</v>
      </c>
    </row>
    <row r="86" spans="1:2">
      <c r="A86" s="20" t="s">
        <v>133</v>
      </c>
      <c r="B86" s="20">
        <v>1019.03</v>
      </c>
    </row>
    <row r="87" spans="1:2">
      <c r="A87" s="20" t="s">
        <v>157</v>
      </c>
      <c r="B87" s="20">
        <v>554.22</v>
      </c>
    </row>
    <row r="88" spans="1:2">
      <c r="A88" s="20" t="s">
        <v>162</v>
      </c>
      <c r="B88" s="20">
        <v>706.21</v>
      </c>
    </row>
    <row r="89" spans="1:2">
      <c r="A89" s="20" t="s">
        <v>156</v>
      </c>
      <c r="B89" s="20">
        <v>553.58</v>
      </c>
    </row>
    <row r="90" spans="1:2">
      <c r="A90" s="20" t="s">
        <v>146</v>
      </c>
      <c r="B90" s="20">
        <v>759.58</v>
      </c>
    </row>
    <row r="91" spans="1:2">
      <c r="A91" s="20" t="s">
        <v>153</v>
      </c>
      <c r="B91" s="20">
        <v>693.09</v>
      </c>
    </row>
    <row r="92" spans="1:2">
      <c r="A92" s="20" t="s">
        <v>186</v>
      </c>
      <c r="B92" s="20">
        <v>9267.55</v>
      </c>
    </row>
    <row r="93" spans="1:2">
      <c r="A93" s="20" t="s">
        <v>172</v>
      </c>
      <c r="B93" s="20">
        <v>6627.03</v>
      </c>
    </row>
    <row r="94" spans="1:2">
      <c r="A94" s="20" t="s">
        <v>179</v>
      </c>
      <c r="B94" s="20">
        <v>4870.27</v>
      </c>
    </row>
    <row r="95" spans="1:2">
      <c r="A95" s="20" t="s">
        <v>196</v>
      </c>
      <c r="B95" s="20">
        <v>3139.21</v>
      </c>
    </row>
    <row r="96" spans="1:2">
      <c r="A96" s="20" t="s">
        <v>192</v>
      </c>
      <c r="B96" s="20">
        <v>2310.49</v>
      </c>
    </row>
    <row r="97" spans="1:2">
      <c r="A97" s="20" t="s">
        <v>180</v>
      </c>
      <c r="B97" s="20">
        <v>3023.09</v>
      </c>
    </row>
    <row r="98" spans="1:2">
      <c r="A98" s="20" t="s">
        <v>190</v>
      </c>
      <c r="B98" s="20">
        <v>2464.36</v>
      </c>
    </row>
    <row r="99" spans="1:2">
      <c r="A99" s="20" t="s">
        <v>194</v>
      </c>
      <c r="B99" s="20">
        <v>1898.52</v>
      </c>
    </row>
    <row r="100" spans="1:2">
      <c r="A100" s="20" t="s">
        <v>168</v>
      </c>
      <c r="B100" s="20">
        <v>2196.29</v>
      </c>
    </row>
    <row r="101" spans="1:2">
      <c r="A101" s="20" t="s">
        <v>165</v>
      </c>
      <c r="B101" s="20">
        <v>1478.06</v>
      </c>
    </row>
    <row r="102" spans="1:2">
      <c r="A102" s="20" t="s">
        <v>202</v>
      </c>
      <c r="B102" s="20">
        <v>1821.08</v>
      </c>
    </row>
    <row r="103" spans="1:2">
      <c r="A103" s="20" t="s">
        <v>191</v>
      </c>
      <c r="B103" s="20">
        <v>1489.53</v>
      </c>
    </row>
    <row r="104" spans="1:2">
      <c r="A104" s="20" t="s">
        <v>184</v>
      </c>
      <c r="B104" s="20">
        <v>885.45</v>
      </c>
    </row>
    <row r="105" spans="1:2">
      <c r="A105" s="20" t="s">
        <v>163</v>
      </c>
      <c r="B105" s="20">
        <v>1277.12</v>
      </c>
    </row>
    <row r="106" spans="1:2">
      <c r="A106" s="20" t="s">
        <v>174</v>
      </c>
      <c r="B106" s="20">
        <v>999.27</v>
      </c>
    </row>
    <row r="107" spans="1:2">
      <c r="A107" s="20" t="s">
        <v>195</v>
      </c>
      <c r="B107" s="20">
        <v>1322.39</v>
      </c>
    </row>
    <row r="108" spans="1:2">
      <c r="A108" s="20" t="s">
        <v>214</v>
      </c>
      <c r="B108" s="20">
        <v>1133.58</v>
      </c>
    </row>
    <row r="109" spans="1:2">
      <c r="A109" s="20" t="s">
        <v>217</v>
      </c>
      <c r="B109" s="20">
        <v>1105.22</v>
      </c>
    </row>
    <row r="110" spans="1:2">
      <c r="A110" s="20" t="s">
        <v>193</v>
      </c>
      <c r="B110" s="20">
        <v>876.14</v>
      </c>
    </row>
    <row r="111" spans="1:2">
      <c r="A111" s="20" t="s">
        <v>215</v>
      </c>
      <c r="B111" s="20">
        <v>1401.3</v>
      </c>
    </row>
    <row r="112" spans="1:2">
      <c r="A112" s="20" t="s">
        <v>219</v>
      </c>
      <c r="B112" s="20">
        <v>1124.34</v>
      </c>
    </row>
    <row r="113" spans="1:2">
      <c r="A113" s="20" t="s">
        <v>207</v>
      </c>
      <c r="B113" s="20">
        <v>1918.25</v>
      </c>
    </row>
    <row r="114" spans="1:2">
      <c r="A114" s="20" t="s">
        <v>176</v>
      </c>
      <c r="B114" s="20">
        <v>1313.19</v>
      </c>
    </row>
    <row r="115" spans="1:2">
      <c r="A115" s="20" t="s">
        <v>203</v>
      </c>
      <c r="B115" s="20">
        <v>1382.36</v>
      </c>
    </row>
    <row r="116" spans="1:2">
      <c r="A116" s="20" t="s">
        <v>185</v>
      </c>
      <c r="B116" s="20">
        <v>1044.07</v>
      </c>
    </row>
    <row r="117" spans="1:2">
      <c r="A117" s="20" t="s">
        <v>199</v>
      </c>
      <c r="B117" s="20">
        <v>507.25</v>
      </c>
    </row>
    <row r="118" spans="1:2">
      <c r="A118" s="20" t="s">
        <v>297</v>
      </c>
      <c r="B118" s="20">
        <v>1022.22</v>
      </c>
    </row>
    <row r="119" spans="1:2">
      <c r="A119" s="20" t="s">
        <v>181</v>
      </c>
      <c r="B119" s="20">
        <v>1561</v>
      </c>
    </row>
    <row r="120" spans="1:2">
      <c r="A120" s="20" t="s">
        <v>175</v>
      </c>
      <c r="B120" s="20">
        <v>1084.16</v>
      </c>
    </row>
    <row r="121" spans="1:2">
      <c r="A121" s="20" t="s">
        <v>173</v>
      </c>
      <c r="B121" s="20">
        <v>1152.28</v>
      </c>
    </row>
    <row r="122" spans="1:2">
      <c r="A122" s="20" t="s">
        <v>220</v>
      </c>
      <c r="B122" s="20">
        <v>841.36</v>
      </c>
    </row>
    <row r="123" spans="1:2">
      <c r="A123" s="20" t="s">
        <v>177</v>
      </c>
      <c r="B123" s="20">
        <v>868.52</v>
      </c>
    </row>
    <row r="124" spans="1:2">
      <c r="A124" s="20" t="s">
        <v>210</v>
      </c>
      <c r="B124" s="20">
        <v>777.09</v>
      </c>
    </row>
    <row r="125" spans="1:2">
      <c r="A125" s="20" t="s">
        <v>213</v>
      </c>
      <c r="B125" s="20">
        <v>1320.58</v>
      </c>
    </row>
    <row r="126" spans="1:2">
      <c r="A126" s="20" t="s">
        <v>188</v>
      </c>
      <c r="B126" s="20">
        <v>908.03</v>
      </c>
    </row>
    <row r="127" spans="1:2">
      <c r="A127" s="20" t="s">
        <v>212</v>
      </c>
      <c r="B127" s="20">
        <v>828.59</v>
      </c>
    </row>
    <row r="128" spans="1:2">
      <c r="A128" s="20" t="s">
        <v>226</v>
      </c>
      <c r="B128" s="20">
        <v>1023.56</v>
      </c>
    </row>
    <row r="129" spans="1:2">
      <c r="A129" s="20" t="s">
        <v>178</v>
      </c>
      <c r="B129" s="20">
        <v>1299.07</v>
      </c>
    </row>
    <row r="130" spans="1:2">
      <c r="A130" s="20" t="s">
        <v>232</v>
      </c>
      <c r="B130" s="20">
        <v>347.43</v>
      </c>
    </row>
    <row r="131" spans="1:2">
      <c r="A131" s="20" t="s">
        <v>183</v>
      </c>
      <c r="B131" s="20">
        <v>715.44</v>
      </c>
    </row>
    <row r="132" spans="1:2">
      <c r="A132" s="20" t="s">
        <v>167</v>
      </c>
      <c r="B132" s="20">
        <v>760</v>
      </c>
    </row>
    <row r="133" spans="1:2">
      <c r="A133" s="20" t="s">
        <v>182</v>
      </c>
      <c r="B133" s="20">
        <v>1141.07</v>
      </c>
    </row>
    <row r="134" spans="1:2">
      <c r="A134" s="20" t="s">
        <v>225</v>
      </c>
      <c r="B134" s="20">
        <v>460.02</v>
      </c>
    </row>
    <row r="135" spans="1:2">
      <c r="A135" s="20" t="s">
        <v>198</v>
      </c>
      <c r="B135" s="20">
        <v>790.49</v>
      </c>
    </row>
    <row r="136" spans="1:2">
      <c r="A136" s="20" t="s">
        <v>224</v>
      </c>
      <c r="B136" s="20">
        <v>817.53</v>
      </c>
    </row>
    <row r="137" spans="1:2">
      <c r="A137" s="20" t="s">
        <v>171</v>
      </c>
      <c r="B137" s="20">
        <v>800.01</v>
      </c>
    </row>
    <row r="138" spans="1:2">
      <c r="A138" s="20" t="s">
        <v>170</v>
      </c>
      <c r="B138" s="20">
        <v>784.12</v>
      </c>
    </row>
    <row r="139" spans="1:2">
      <c r="A139" s="20" t="s">
        <v>204</v>
      </c>
      <c r="B139" s="20">
        <v>829.22</v>
      </c>
    </row>
    <row r="140" spans="1:2">
      <c r="A140" s="20" t="s">
        <v>221</v>
      </c>
      <c r="B140" s="20">
        <v>439.29</v>
      </c>
    </row>
    <row r="141" spans="1:2">
      <c r="A141" s="20" t="s">
        <v>211</v>
      </c>
      <c r="B141" s="20">
        <v>710.03</v>
      </c>
    </row>
    <row r="142" spans="1:2">
      <c r="A142" s="20" t="s">
        <v>169</v>
      </c>
      <c r="B142" s="20">
        <v>695.17</v>
      </c>
    </row>
    <row r="143" spans="1:2">
      <c r="A143" s="20" t="s">
        <v>166</v>
      </c>
      <c r="B143" s="20">
        <v>777.21</v>
      </c>
    </row>
    <row r="144" spans="1:2">
      <c r="A144" s="20" t="s">
        <v>164</v>
      </c>
      <c r="B144" s="20">
        <v>663.16</v>
      </c>
    </row>
    <row r="145" spans="1:2">
      <c r="A145" s="20" t="s">
        <v>197</v>
      </c>
      <c r="B145" s="20">
        <v>1096.51</v>
      </c>
    </row>
    <row r="146" spans="1:2">
      <c r="A146" s="20" t="s">
        <v>187</v>
      </c>
      <c r="B146" s="20">
        <v>956.49</v>
      </c>
    </row>
    <row r="147" spans="1:2">
      <c r="A147" s="20" t="s">
        <v>200</v>
      </c>
      <c r="B147" s="20">
        <v>446.4</v>
      </c>
    </row>
    <row r="148" spans="1:2">
      <c r="A148" s="20" t="s">
        <v>201</v>
      </c>
      <c r="B148" s="20">
        <v>416.4</v>
      </c>
    </row>
    <row r="149" spans="1:2">
      <c r="A149" s="20" t="s">
        <v>189</v>
      </c>
      <c r="B149" s="20">
        <v>710.34</v>
      </c>
    </row>
    <row r="150" spans="1:2">
      <c r="A150" s="20" t="s">
        <v>205</v>
      </c>
      <c r="B150" s="20">
        <v>439.1</v>
      </c>
    </row>
    <row r="151" spans="1:2">
      <c r="A151" s="20" t="s">
        <v>222</v>
      </c>
      <c r="B151" s="20">
        <v>303.39</v>
      </c>
    </row>
    <row r="152" spans="1:2">
      <c r="A152" s="20" t="s">
        <v>209</v>
      </c>
      <c r="B152" s="20">
        <v>323.25</v>
      </c>
    </row>
    <row r="153" spans="1:2">
      <c r="A153" s="20" t="s">
        <v>206</v>
      </c>
      <c r="B153" s="20">
        <v>355.27</v>
      </c>
    </row>
    <row r="154" spans="1:2">
      <c r="A154" s="20" t="s">
        <v>230</v>
      </c>
      <c r="B154" s="20">
        <v>329.45</v>
      </c>
    </row>
    <row r="155" spans="1:2">
      <c r="A155" s="20" t="s">
        <v>233</v>
      </c>
      <c r="B155" s="20">
        <v>263.06</v>
      </c>
    </row>
    <row r="156" spans="1:2">
      <c r="A156" s="20" t="s">
        <v>228</v>
      </c>
      <c r="B156" s="20">
        <v>337.06</v>
      </c>
    </row>
    <row r="157" spans="1:2">
      <c r="A157" s="20" t="s">
        <v>229</v>
      </c>
      <c r="B157" s="20">
        <v>292.49</v>
      </c>
    </row>
    <row r="158" spans="1:2">
      <c r="A158" s="20" t="s">
        <v>223</v>
      </c>
      <c r="B158" s="20">
        <v>333.21</v>
      </c>
    </row>
    <row r="159" spans="1:2">
      <c r="A159" s="20" t="s">
        <v>231</v>
      </c>
      <c r="B159" s="20">
        <v>281.21</v>
      </c>
    </row>
    <row r="160" spans="1:2">
      <c r="A160" s="20" t="s">
        <v>208</v>
      </c>
      <c r="B160" s="20">
        <v>330.2</v>
      </c>
    </row>
    <row r="194" ht="39.6" customHeight="1"/>
    <row r="223" ht="52.8" customHeight="1"/>
    <row r="323" ht="26.4" customHeight="1"/>
    <row r="324" ht="66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23" sqref="A23"/>
    </sheetView>
  </sheetViews>
  <sheetFormatPr defaultColWidth="8.8" defaultRowHeight="15.6" outlineLevelCol="3"/>
  <cols>
    <col min="2" max="2" width="18.6" style="1" customWidth="1"/>
    <col min="3" max="3" width="37.1" style="1" customWidth="1"/>
    <col min="4" max="4" width="21.3" style="1" customWidth="1"/>
  </cols>
  <sheetData>
    <row r="1" spans="1:4">
      <c r="A1" s="17" t="s">
        <v>32</v>
      </c>
      <c r="B1" s="17" t="s">
        <v>33</v>
      </c>
      <c r="C1" s="17" t="s">
        <v>298</v>
      </c>
      <c r="D1" s="18" t="s">
        <v>299</v>
      </c>
    </row>
    <row r="2" spans="1:4">
      <c r="A2" s="17">
        <v>280880</v>
      </c>
      <c r="B2" s="17" t="s">
        <v>294</v>
      </c>
      <c r="C2" s="17" t="s">
        <v>300</v>
      </c>
      <c r="D2" s="18">
        <v>45849</v>
      </c>
    </row>
    <row r="3" spans="1:4">
      <c r="A3" s="17">
        <v>247704</v>
      </c>
      <c r="B3" s="17" t="s">
        <v>85</v>
      </c>
      <c r="C3" s="17" t="s">
        <v>300</v>
      </c>
      <c r="D3" s="18">
        <v>45797</v>
      </c>
    </row>
    <row r="4" spans="1:4">
      <c r="A4" s="17">
        <v>278078</v>
      </c>
      <c r="B4" s="17" t="s">
        <v>291</v>
      </c>
      <c r="C4" s="17" t="s">
        <v>300</v>
      </c>
      <c r="D4" s="18">
        <v>45735</v>
      </c>
    </row>
    <row r="5" spans="1:4">
      <c r="A5" s="17">
        <v>248310</v>
      </c>
      <c r="B5" s="17" t="s">
        <v>74</v>
      </c>
      <c r="C5" s="17" t="s">
        <v>300</v>
      </c>
      <c r="D5" s="18">
        <v>45725</v>
      </c>
    </row>
    <row r="6" spans="1:4">
      <c r="A6" s="17">
        <v>265801</v>
      </c>
      <c r="B6" s="17" t="s">
        <v>96</v>
      </c>
      <c r="C6" s="17" t="s">
        <v>300</v>
      </c>
      <c r="D6" s="18">
        <v>45709</v>
      </c>
    </row>
    <row r="7" spans="1:4">
      <c r="A7" s="17">
        <v>212871</v>
      </c>
      <c r="B7" s="17" t="s">
        <v>301</v>
      </c>
      <c r="C7" s="17" t="s">
        <v>300</v>
      </c>
      <c r="D7" s="18">
        <v>45713</v>
      </c>
    </row>
    <row r="8" spans="1:4">
      <c r="A8" s="17">
        <v>246412</v>
      </c>
      <c r="B8" s="17" t="s">
        <v>110</v>
      </c>
      <c r="C8" s="17" t="s">
        <v>300</v>
      </c>
      <c r="D8" s="18">
        <v>45723</v>
      </c>
    </row>
    <row r="9" spans="1:4">
      <c r="A9" s="17">
        <v>248319</v>
      </c>
      <c r="B9" s="17" t="s">
        <v>100</v>
      </c>
      <c r="C9" s="17" t="s">
        <v>300</v>
      </c>
      <c r="D9" s="18">
        <v>45704</v>
      </c>
    </row>
    <row r="10" spans="1:4">
      <c r="A10" s="17">
        <v>248320</v>
      </c>
      <c r="B10" s="17" t="s">
        <v>81</v>
      </c>
      <c r="C10" s="17" t="s">
        <v>300</v>
      </c>
      <c r="D10" s="18">
        <v>45692</v>
      </c>
    </row>
    <row r="11" spans="1:4">
      <c r="A11" s="17">
        <v>248907</v>
      </c>
      <c r="B11" s="17" t="s">
        <v>87</v>
      </c>
      <c r="C11" s="17" t="s">
        <v>300</v>
      </c>
      <c r="D11" s="18">
        <v>45696</v>
      </c>
    </row>
    <row r="12" spans="1:4">
      <c r="A12" s="17">
        <v>259798</v>
      </c>
      <c r="B12" s="17" t="s">
        <v>120</v>
      </c>
      <c r="C12" s="17" t="s">
        <v>300</v>
      </c>
      <c r="D12" s="18">
        <v>45667</v>
      </c>
    </row>
    <row r="13" spans="1:4">
      <c r="A13" s="17">
        <v>261757</v>
      </c>
      <c r="B13" s="17" t="s">
        <v>117</v>
      </c>
      <c r="C13" s="17" t="s">
        <v>300</v>
      </c>
      <c r="D13" s="18">
        <v>45660</v>
      </c>
    </row>
    <row r="14" spans="1:4">
      <c r="A14" s="17">
        <v>281972</v>
      </c>
      <c r="B14" s="17" t="s">
        <v>296</v>
      </c>
      <c r="C14" s="17" t="s">
        <v>300</v>
      </c>
      <c r="D14" s="18">
        <v>45635</v>
      </c>
    </row>
    <row r="15" spans="1:4">
      <c r="A15" s="17">
        <v>266499</v>
      </c>
      <c r="B15" s="17" t="s">
        <v>124</v>
      </c>
      <c r="C15" s="17" t="s">
        <v>300</v>
      </c>
      <c r="D15" s="18">
        <v>45720</v>
      </c>
    </row>
    <row r="16" spans="1:4">
      <c r="A16" s="17">
        <v>259796</v>
      </c>
      <c r="B16" s="17" t="s">
        <v>118</v>
      </c>
      <c r="C16" s="17" t="s">
        <v>300</v>
      </c>
      <c r="D16" s="18">
        <v>45645</v>
      </c>
    </row>
    <row r="17" spans="1:4">
      <c r="A17" s="17">
        <v>260944</v>
      </c>
      <c r="B17" s="17" t="s">
        <v>83</v>
      </c>
      <c r="C17" s="17" t="s">
        <v>300</v>
      </c>
      <c r="D17" s="18">
        <v>45632</v>
      </c>
    </row>
    <row r="18" spans="1:4">
      <c r="A18" s="17">
        <v>259803</v>
      </c>
      <c r="B18" s="17" t="s">
        <v>89</v>
      </c>
      <c r="C18" s="17" t="s">
        <v>300</v>
      </c>
      <c r="D18" s="18">
        <v>45646</v>
      </c>
    </row>
    <row r="19" spans="1:4">
      <c r="A19" s="17">
        <v>236217</v>
      </c>
      <c r="B19" s="17" t="s">
        <v>101</v>
      </c>
      <c r="C19" s="17" t="s">
        <v>300</v>
      </c>
      <c r="D19" s="18">
        <v>45629</v>
      </c>
    </row>
    <row r="20" spans="1:4">
      <c r="A20" s="17">
        <v>251924</v>
      </c>
      <c r="B20" s="17" t="s">
        <v>95</v>
      </c>
      <c r="C20" s="17" t="s">
        <v>300</v>
      </c>
      <c r="D20" s="18">
        <v>45703</v>
      </c>
    </row>
    <row r="21" spans="1:4">
      <c r="A21" s="17">
        <v>273299</v>
      </c>
      <c r="B21" s="17" t="s">
        <v>90</v>
      </c>
      <c r="C21" s="17" t="s">
        <v>300</v>
      </c>
      <c r="D21" s="18">
        <v>45643</v>
      </c>
    </row>
    <row r="22" spans="1:4">
      <c r="A22" s="17">
        <v>240677</v>
      </c>
      <c r="B22" s="17" t="s">
        <v>99</v>
      </c>
      <c r="C22" s="17" t="s">
        <v>300</v>
      </c>
      <c r="D22" s="18">
        <v>45597</v>
      </c>
    </row>
    <row r="23" spans="1:4">
      <c r="A23" s="17">
        <v>247692</v>
      </c>
      <c r="B23" s="17" t="s">
        <v>79</v>
      </c>
      <c r="C23" s="17" t="s">
        <v>300</v>
      </c>
      <c r="D23" s="18">
        <v>45584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0"/>
  <sheetViews>
    <sheetView workbookViewId="0">
      <selection activeCell="A1" sqref="A$1:B$1048576"/>
    </sheetView>
  </sheetViews>
  <sheetFormatPr defaultColWidth="9" defaultRowHeight="15.6" outlineLevelCol="1"/>
  <cols>
    <col min="1" max="1" width="15.625" style="11" customWidth="1"/>
    <col min="2" max="2" width="11.25" style="12" customWidth="1"/>
  </cols>
  <sheetData>
    <row r="1" spans="1:2">
      <c r="A1" s="13" t="s">
        <v>33</v>
      </c>
      <c r="B1" s="14" t="s">
        <v>34</v>
      </c>
    </row>
    <row r="2" spans="1:2">
      <c r="A2" s="13" t="s">
        <v>302</v>
      </c>
      <c r="B2" s="14" t="s">
        <v>218</v>
      </c>
    </row>
    <row r="3" spans="1:2">
      <c r="A3" s="13" t="s">
        <v>303</v>
      </c>
      <c r="B3" s="14" t="s">
        <v>216</v>
      </c>
    </row>
    <row r="4" spans="1:2">
      <c r="A4" s="13" t="s">
        <v>304</v>
      </c>
      <c r="B4" s="14" t="s">
        <v>227</v>
      </c>
    </row>
    <row r="5" spans="1:2">
      <c r="A5" s="13" t="s">
        <v>305</v>
      </c>
      <c r="B5" s="14" t="s">
        <v>227</v>
      </c>
    </row>
    <row r="6" spans="1:2">
      <c r="A6" s="13" t="s">
        <v>306</v>
      </c>
      <c r="B6" s="14" t="s">
        <v>216</v>
      </c>
    </row>
    <row r="7" spans="1:2">
      <c r="A7" s="13" t="s">
        <v>307</v>
      </c>
      <c r="B7" s="14" t="s">
        <v>218</v>
      </c>
    </row>
    <row r="8" spans="1:2">
      <c r="A8" s="13" t="s">
        <v>308</v>
      </c>
      <c r="B8" s="14" t="s">
        <v>216</v>
      </c>
    </row>
    <row r="9" spans="1:2">
      <c r="A9" s="13" t="s">
        <v>309</v>
      </c>
      <c r="B9" s="14" t="s">
        <v>218</v>
      </c>
    </row>
    <row r="10" spans="1:2">
      <c r="A10" s="13" t="s">
        <v>310</v>
      </c>
      <c r="B10" s="14" t="s">
        <v>227</v>
      </c>
    </row>
    <row r="11" spans="1:2">
      <c r="A11" s="13" t="s">
        <v>311</v>
      </c>
      <c r="B11" s="14" t="s">
        <v>218</v>
      </c>
    </row>
    <row r="12" spans="1:2">
      <c r="A12" s="13" t="s">
        <v>312</v>
      </c>
      <c r="B12" s="14" t="s">
        <v>227</v>
      </c>
    </row>
    <row r="13" spans="1:2">
      <c r="A13" s="13" t="s">
        <v>313</v>
      </c>
      <c r="B13" s="14" t="s">
        <v>216</v>
      </c>
    </row>
    <row r="14" spans="1:2">
      <c r="A14" s="13" t="s">
        <v>314</v>
      </c>
      <c r="B14" s="14" t="s">
        <v>218</v>
      </c>
    </row>
    <row r="15" spans="1:2">
      <c r="A15" s="13" t="s">
        <v>315</v>
      </c>
      <c r="B15" s="14" t="s">
        <v>216</v>
      </c>
    </row>
    <row r="16" spans="1:2">
      <c r="A16" s="13" t="s">
        <v>316</v>
      </c>
      <c r="B16" s="14" t="s">
        <v>216</v>
      </c>
    </row>
    <row r="17" spans="1:2">
      <c r="A17" s="13" t="s">
        <v>317</v>
      </c>
      <c r="B17" s="14" t="s">
        <v>227</v>
      </c>
    </row>
    <row r="18" spans="1:2">
      <c r="A18" s="13" t="s">
        <v>318</v>
      </c>
      <c r="B18" s="14" t="s">
        <v>218</v>
      </c>
    </row>
    <row r="19" spans="1:2">
      <c r="A19" s="13" t="s">
        <v>319</v>
      </c>
      <c r="B19" s="14" t="s">
        <v>216</v>
      </c>
    </row>
    <row r="20" spans="1:2">
      <c r="A20" s="13" t="s">
        <v>320</v>
      </c>
      <c r="B20" s="14" t="s">
        <v>218</v>
      </c>
    </row>
    <row r="21" spans="1:2">
      <c r="A21" s="13" t="s">
        <v>321</v>
      </c>
      <c r="B21" s="14" t="s">
        <v>227</v>
      </c>
    </row>
    <row r="22" spans="1:2">
      <c r="A22" s="13" t="s">
        <v>322</v>
      </c>
      <c r="B22" s="14" t="s">
        <v>227</v>
      </c>
    </row>
    <row r="23" spans="1:2">
      <c r="A23" s="13" t="s">
        <v>323</v>
      </c>
      <c r="B23" s="14" t="s">
        <v>218</v>
      </c>
    </row>
    <row r="24" spans="1:2">
      <c r="A24" s="13" t="s">
        <v>324</v>
      </c>
      <c r="B24" s="14" t="s">
        <v>227</v>
      </c>
    </row>
    <row r="25" spans="1:2">
      <c r="A25" s="13" t="s">
        <v>325</v>
      </c>
      <c r="B25" s="14" t="s">
        <v>216</v>
      </c>
    </row>
    <row r="26" spans="1:2">
      <c r="A26" s="13" t="s">
        <v>326</v>
      </c>
      <c r="B26" s="14" t="s">
        <v>216</v>
      </c>
    </row>
    <row r="27" spans="1:2">
      <c r="A27" s="13" t="s">
        <v>327</v>
      </c>
      <c r="B27" s="14" t="s">
        <v>216</v>
      </c>
    </row>
    <row r="28" spans="1:2">
      <c r="A28" s="13" t="s">
        <v>328</v>
      </c>
      <c r="B28" s="14" t="s">
        <v>227</v>
      </c>
    </row>
    <row r="29" spans="1:2">
      <c r="A29" s="13" t="s">
        <v>329</v>
      </c>
      <c r="B29" s="14" t="s">
        <v>218</v>
      </c>
    </row>
    <row r="30" spans="1:2">
      <c r="A30" s="13" t="s">
        <v>330</v>
      </c>
      <c r="B30" s="14" t="s">
        <v>216</v>
      </c>
    </row>
    <row r="31" spans="1:2">
      <c r="A31" s="13" t="s">
        <v>331</v>
      </c>
      <c r="B31" s="14" t="s">
        <v>216</v>
      </c>
    </row>
    <row r="32" spans="1:2">
      <c r="A32" s="13" t="s">
        <v>332</v>
      </c>
      <c r="B32" s="14" t="s">
        <v>227</v>
      </c>
    </row>
    <row r="33" spans="1:2">
      <c r="A33" s="13" t="s">
        <v>333</v>
      </c>
      <c r="B33" s="14" t="s">
        <v>216</v>
      </c>
    </row>
    <row r="34" spans="1:2">
      <c r="A34" s="13" t="s">
        <v>334</v>
      </c>
      <c r="B34" s="14" t="s">
        <v>216</v>
      </c>
    </row>
    <row r="35" spans="1:2">
      <c r="A35" s="13" t="s">
        <v>335</v>
      </c>
      <c r="B35" s="14" t="s">
        <v>218</v>
      </c>
    </row>
    <row r="36" spans="1:2">
      <c r="A36" s="13" t="s">
        <v>336</v>
      </c>
      <c r="B36" s="14" t="s">
        <v>216</v>
      </c>
    </row>
    <row r="37" spans="1:2">
      <c r="A37" s="13" t="s">
        <v>337</v>
      </c>
      <c r="B37" s="14" t="s">
        <v>227</v>
      </c>
    </row>
    <row r="38" spans="1:2">
      <c r="A38" s="13" t="s">
        <v>338</v>
      </c>
      <c r="B38" s="14" t="s">
        <v>218</v>
      </c>
    </row>
    <row r="39" spans="1:2">
      <c r="A39" s="13" t="s">
        <v>339</v>
      </c>
      <c r="B39" s="14" t="s">
        <v>218</v>
      </c>
    </row>
    <row r="40" spans="1:2">
      <c r="A40" s="13" t="s">
        <v>340</v>
      </c>
      <c r="B40" s="14" t="s">
        <v>216</v>
      </c>
    </row>
    <row r="41" spans="1:2">
      <c r="A41" s="14" t="s">
        <v>341</v>
      </c>
      <c r="B41" s="14" t="s">
        <v>218</v>
      </c>
    </row>
    <row r="42" spans="1:2">
      <c r="A42" s="14" t="s">
        <v>342</v>
      </c>
      <c r="B42" s="14" t="s">
        <v>227</v>
      </c>
    </row>
    <row r="43" spans="1:2">
      <c r="A43" s="15" t="s">
        <v>343</v>
      </c>
      <c r="B43" s="14" t="s">
        <v>227</v>
      </c>
    </row>
    <row r="44" spans="1:2">
      <c r="A44" s="13" t="s">
        <v>344</v>
      </c>
      <c r="B44" s="14" t="s">
        <v>218</v>
      </c>
    </row>
    <row r="45" spans="1:2">
      <c r="A45" s="13" t="s">
        <v>345</v>
      </c>
      <c r="B45" s="14" t="s">
        <v>216</v>
      </c>
    </row>
    <row r="46" spans="1:2">
      <c r="A46" s="13" t="s">
        <v>346</v>
      </c>
      <c r="B46" s="14" t="s">
        <v>218</v>
      </c>
    </row>
    <row r="47" spans="1:2">
      <c r="A47" s="13" t="s">
        <v>347</v>
      </c>
      <c r="B47" s="14" t="s">
        <v>227</v>
      </c>
    </row>
    <row r="48" spans="1:2">
      <c r="A48" s="13" t="s">
        <v>348</v>
      </c>
      <c r="B48" s="14" t="s">
        <v>216</v>
      </c>
    </row>
    <row r="49" spans="1:2">
      <c r="A49" s="13" t="s">
        <v>349</v>
      </c>
      <c r="B49" s="14" t="s">
        <v>216</v>
      </c>
    </row>
    <row r="50" spans="1:2">
      <c r="A50" s="13" t="s">
        <v>350</v>
      </c>
      <c r="B50" s="14" t="s">
        <v>227</v>
      </c>
    </row>
    <row r="51" spans="1:2">
      <c r="A51" s="13" t="s">
        <v>351</v>
      </c>
      <c r="B51" s="14" t="s">
        <v>227</v>
      </c>
    </row>
    <row r="52" spans="1:2">
      <c r="A52" s="13" t="s">
        <v>352</v>
      </c>
      <c r="B52" s="14" t="s">
        <v>218</v>
      </c>
    </row>
    <row r="53" spans="1:2">
      <c r="A53" s="13" t="s">
        <v>353</v>
      </c>
      <c r="B53" s="14" t="s">
        <v>218</v>
      </c>
    </row>
    <row r="54" spans="1:2">
      <c r="A54" s="13" t="s">
        <v>354</v>
      </c>
      <c r="B54" s="14" t="s">
        <v>227</v>
      </c>
    </row>
    <row r="55" spans="1:2">
      <c r="A55" s="13" t="s">
        <v>355</v>
      </c>
      <c r="B55" s="14" t="s">
        <v>227</v>
      </c>
    </row>
    <row r="56" spans="1:2">
      <c r="A56" s="13" t="s">
        <v>356</v>
      </c>
      <c r="B56" s="14" t="s">
        <v>216</v>
      </c>
    </row>
    <row r="57" spans="1:2">
      <c r="A57" s="13" t="s">
        <v>357</v>
      </c>
      <c r="B57" s="14" t="s">
        <v>218</v>
      </c>
    </row>
    <row r="58" spans="1:2">
      <c r="A58" s="13" t="s">
        <v>358</v>
      </c>
      <c r="B58" s="14" t="s">
        <v>218</v>
      </c>
    </row>
    <row r="59" spans="1:2">
      <c r="A59" s="13" t="s">
        <v>359</v>
      </c>
      <c r="B59" s="14" t="s">
        <v>216</v>
      </c>
    </row>
    <row r="60" spans="1:2">
      <c r="A60" s="13" t="s">
        <v>360</v>
      </c>
      <c r="B60" s="14" t="s">
        <v>227</v>
      </c>
    </row>
    <row r="61" spans="1:2">
      <c r="A61" s="13" t="s">
        <v>361</v>
      </c>
      <c r="B61" s="14" t="s">
        <v>218</v>
      </c>
    </row>
    <row r="62" spans="1:2">
      <c r="A62" s="13" t="s">
        <v>362</v>
      </c>
      <c r="B62" s="14" t="s">
        <v>227</v>
      </c>
    </row>
    <row r="63" spans="1:2">
      <c r="A63" s="13" t="s">
        <v>363</v>
      </c>
      <c r="B63" s="14" t="s">
        <v>227</v>
      </c>
    </row>
    <row r="64" spans="1:2">
      <c r="A64" s="13" t="s">
        <v>364</v>
      </c>
      <c r="B64" s="14" t="s">
        <v>218</v>
      </c>
    </row>
    <row r="65" spans="1:2">
      <c r="A65" s="13" t="s">
        <v>365</v>
      </c>
      <c r="B65" s="14" t="s">
        <v>218</v>
      </c>
    </row>
    <row r="66" spans="1:2">
      <c r="A66" s="13" t="s">
        <v>366</v>
      </c>
      <c r="B66" s="14" t="s">
        <v>216</v>
      </c>
    </row>
    <row r="67" spans="1:2">
      <c r="A67" s="13" t="s">
        <v>367</v>
      </c>
      <c r="B67" s="14" t="s">
        <v>218</v>
      </c>
    </row>
    <row r="68" spans="1:2">
      <c r="A68" s="13" t="s">
        <v>368</v>
      </c>
      <c r="B68" s="14" t="s">
        <v>218</v>
      </c>
    </row>
    <row r="69" spans="1:2">
      <c r="A69" s="13" t="s">
        <v>369</v>
      </c>
      <c r="B69" s="14" t="s">
        <v>218</v>
      </c>
    </row>
    <row r="70" spans="1:2">
      <c r="A70" s="13" t="s">
        <v>370</v>
      </c>
      <c r="B70" s="14" t="s">
        <v>227</v>
      </c>
    </row>
    <row r="71" spans="1:2">
      <c r="A71" s="13" t="s">
        <v>371</v>
      </c>
      <c r="B71" s="14" t="s">
        <v>218</v>
      </c>
    </row>
    <row r="72" spans="1:2">
      <c r="A72" s="13" t="s">
        <v>372</v>
      </c>
      <c r="B72" s="14" t="s">
        <v>216</v>
      </c>
    </row>
    <row r="73" spans="1:2">
      <c r="A73" s="13" t="s">
        <v>373</v>
      </c>
      <c r="B73" s="14" t="s">
        <v>218</v>
      </c>
    </row>
    <row r="74" spans="1:2">
      <c r="A74" s="16" t="s">
        <v>374</v>
      </c>
      <c r="B74" s="14" t="s">
        <v>227</v>
      </c>
    </row>
    <row r="75" spans="1:2">
      <c r="A75" s="16" t="s">
        <v>375</v>
      </c>
      <c r="B75" s="14" t="s">
        <v>227</v>
      </c>
    </row>
    <row r="76" spans="1:2">
      <c r="A76" s="13" t="s">
        <v>376</v>
      </c>
      <c r="B76" s="14" t="s">
        <v>227</v>
      </c>
    </row>
    <row r="77" spans="1:2">
      <c r="A77" s="13" t="s">
        <v>377</v>
      </c>
      <c r="B77" s="14" t="s">
        <v>216</v>
      </c>
    </row>
    <row r="78" spans="1:2">
      <c r="A78" s="13" t="s">
        <v>378</v>
      </c>
      <c r="B78" s="14" t="s">
        <v>218</v>
      </c>
    </row>
    <row r="79" spans="1:2">
      <c r="A79" s="13" t="s">
        <v>379</v>
      </c>
      <c r="B79" s="14" t="s">
        <v>216</v>
      </c>
    </row>
    <row r="80" spans="1:2">
      <c r="A80" s="14" t="s">
        <v>380</v>
      </c>
      <c r="B80" s="14" t="s">
        <v>216</v>
      </c>
    </row>
    <row r="81" spans="1:2">
      <c r="A81" s="14" t="s">
        <v>381</v>
      </c>
      <c r="B81" s="14" t="s">
        <v>216</v>
      </c>
    </row>
    <row r="82" spans="1:2">
      <c r="A82" s="13" t="s">
        <v>382</v>
      </c>
      <c r="B82" s="14" t="s">
        <v>227</v>
      </c>
    </row>
    <row r="83" spans="1:2">
      <c r="A83" s="13" t="s">
        <v>383</v>
      </c>
      <c r="B83" s="14" t="s">
        <v>227</v>
      </c>
    </row>
    <row r="84" spans="1:2">
      <c r="A84" s="13" t="s">
        <v>384</v>
      </c>
      <c r="B84" s="14" t="s">
        <v>216</v>
      </c>
    </row>
    <row r="85" spans="1:2">
      <c r="A85" s="13" t="s">
        <v>385</v>
      </c>
      <c r="B85" s="14" t="s">
        <v>218</v>
      </c>
    </row>
    <row r="86" ht="28.8" customHeight="1" spans="1:2">
      <c r="A86" s="15" t="s">
        <v>386</v>
      </c>
      <c r="B86" s="14" t="s">
        <v>218</v>
      </c>
    </row>
    <row r="87" spans="1:2">
      <c r="A87" s="15" t="s">
        <v>387</v>
      </c>
      <c r="B87" s="14" t="s">
        <v>218</v>
      </c>
    </row>
    <row r="88" spans="1:2">
      <c r="A88" s="14" t="s">
        <v>388</v>
      </c>
      <c r="B88" s="14" t="s">
        <v>216</v>
      </c>
    </row>
    <row r="89" spans="1:2">
      <c r="A89" s="13" t="s">
        <v>389</v>
      </c>
      <c r="B89" s="14" t="s">
        <v>227</v>
      </c>
    </row>
    <row r="90" spans="1:2">
      <c r="A90" s="15" t="s">
        <v>390</v>
      </c>
      <c r="B90" s="14" t="s">
        <v>216</v>
      </c>
    </row>
    <row r="91" spans="1:2">
      <c r="A91" s="13" t="s">
        <v>391</v>
      </c>
      <c r="B91" s="14" t="s">
        <v>216</v>
      </c>
    </row>
    <row r="92" spans="1:2">
      <c r="A92" s="13" t="s">
        <v>392</v>
      </c>
      <c r="B92" s="14" t="s">
        <v>227</v>
      </c>
    </row>
    <row r="93" spans="1:2">
      <c r="A93" s="13" t="s">
        <v>393</v>
      </c>
      <c r="B93" s="14" t="s">
        <v>216</v>
      </c>
    </row>
    <row r="94" spans="1:2">
      <c r="A94" s="13" t="s">
        <v>394</v>
      </c>
      <c r="B94" s="14" t="s">
        <v>216</v>
      </c>
    </row>
    <row r="95" spans="1:2">
      <c r="A95" s="13" t="s">
        <v>395</v>
      </c>
      <c r="B95" s="14" t="s">
        <v>227</v>
      </c>
    </row>
    <row r="96" spans="1:2">
      <c r="A96" s="13" t="s">
        <v>396</v>
      </c>
      <c r="B96" s="14" t="s">
        <v>216</v>
      </c>
    </row>
    <row r="97" spans="1:2">
      <c r="A97" s="13" t="s">
        <v>397</v>
      </c>
      <c r="B97" s="14" t="s">
        <v>218</v>
      </c>
    </row>
    <row r="98" spans="1:2">
      <c r="A98" s="13" t="s">
        <v>398</v>
      </c>
      <c r="B98" s="14" t="s">
        <v>227</v>
      </c>
    </row>
    <row r="99" spans="1:2">
      <c r="A99" s="13" t="s">
        <v>399</v>
      </c>
      <c r="B99" s="14" t="s">
        <v>227</v>
      </c>
    </row>
    <row r="100" spans="1:2">
      <c r="A100" s="13" t="s">
        <v>400</v>
      </c>
      <c r="B100" s="14" t="s">
        <v>218</v>
      </c>
    </row>
    <row r="101" spans="1:2">
      <c r="A101" s="13" t="s">
        <v>401</v>
      </c>
      <c r="B101" s="14" t="s">
        <v>216</v>
      </c>
    </row>
    <row r="102" spans="1:2">
      <c r="A102" s="13" t="s">
        <v>402</v>
      </c>
      <c r="B102" s="14" t="s">
        <v>218</v>
      </c>
    </row>
    <row r="103" spans="1:2">
      <c r="A103" s="13" t="s">
        <v>403</v>
      </c>
      <c r="B103" s="14" t="s">
        <v>218</v>
      </c>
    </row>
    <row r="104" spans="1:2">
      <c r="A104" s="13" t="s">
        <v>404</v>
      </c>
      <c r="B104" s="14" t="s">
        <v>227</v>
      </c>
    </row>
    <row r="105" spans="1:2">
      <c r="A105" s="13" t="s">
        <v>405</v>
      </c>
      <c r="B105" s="14" t="s">
        <v>216</v>
      </c>
    </row>
    <row r="106" spans="1:2">
      <c r="A106" s="13" t="s">
        <v>406</v>
      </c>
      <c r="B106" s="14" t="s">
        <v>227</v>
      </c>
    </row>
    <row r="107" spans="1:2">
      <c r="A107" s="13" t="s">
        <v>407</v>
      </c>
      <c r="B107" s="14" t="s">
        <v>218</v>
      </c>
    </row>
    <row r="108" spans="1:2">
      <c r="A108" s="13" t="s">
        <v>408</v>
      </c>
      <c r="B108" s="14" t="s">
        <v>218</v>
      </c>
    </row>
    <row r="109" spans="1:2">
      <c r="A109" s="13" t="s">
        <v>409</v>
      </c>
      <c r="B109" s="14" t="s">
        <v>218</v>
      </c>
    </row>
    <row r="110" spans="1:2">
      <c r="A110" s="13" t="s">
        <v>410</v>
      </c>
      <c r="B110" s="14" t="s">
        <v>227</v>
      </c>
    </row>
    <row r="111" spans="1:2">
      <c r="A111" s="13" t="s">
        <v>411</v>
      </c>
      <c r="B111" s="14" t="s">
        <v>216</v>
      </c>
    </row>
    <row r="112" spans="1:2">
      <c r="A112" s="13" t="s">
        <v>412</v>
      </c>
      <c r="B112" s="14" t="s">
        <v>218</v>
      </c>
    </row>
    <row r="113" spans="1:2">
      <c r="A113" s="13" t="s">
        <v>413</v>
      </c>
      <c r="B113" s="14" t="s">
        <v>216</v>
      </c>
    </row>
    <row r="114" spans="1:2">
      <c r="A114" s="13" t="s">
        <v>414</v>
      </c>
      <c r="B114" s="14" t="s">
        <v>216</v>
      </c>
    </row>
    <row r="115" spans="1:2">
      <c r="A115" s="13" t="s">
        <v>415</v>
      </c>
      <c r="B115" s="14" t="s">
        <v>218</v>
      </c>
    </row>
    <row r="116" spans="1:2">
      <c r="A116" s="13" t="s">
        <v>416</v>
      </c>
      <c r="B116" s="14" t="s">
        <v>218</v>
      </c>
    </row>
    <row r="117" spans="1:2">
      <c r="A117" s="13" t="s">
        <v>417</v>
      </c>
      <c r="B117" s="14" t="s">
        <v>218</v>
      </c>
    </row>
    <row r="118" spans="1:2">
      <c r="A118" s="13" t="s">
        <v>418</v>
      </c>
      <c r="B118" s="14" t="s">
        <v>216</v>
      </c>
    </row>
    <row r="119" spans="1:2">
      <c r="A119" s="13" t="s">
        <v>419</v>
      </c>
      <c r="B119" s="14" t="s">
        <v>227</v>
      </c>
    </row>
    <row r="120" spans="1:2">
      <c r="A120" s="13" t="s">
        <v>420</v>
      </c>
      <c r="B120" s="14" t="s">
        <v>227</v>
      </c>
    </row>
    <row r="121" spans="1:2">
      <c r="A121" s="13" t="s">
        <v>421</v>
      </c>
      <c r="B121" s="14" t="s">
        <v>216</v>
      </c>
    </row>
    <row r="122" spans="1:2">
      <c r="A122" s="13" t="s">
        <v>422</v>
      </c>
      <c r="B122" s="14" t="s">
        <v>218</v>
      </c>
    </row>
    <row r="123" spans="1:2">
      <c r="A123" s="13" t="s">
        <v>423</v>
      </c>
      <c r="B123" s="14" t="s">
        <v>216</v>
      </c>
    </row>
    <row r="124" spans="1:2">
      <c r="A124" s="14" t="s">
        <v>424</v>
      </c>
      <c r="B124" s="14" t="s">
        <v>216</v>
      </c>
    </row>
    <row r="125" spans="1:2">
      <c r="A125" s="14" t="s">
        <v>425</v>
      </c>
      <c r="B125" s="14" t="s">
        <v>216</v>
      </c>
    </row>
    <row r="126" spans="1:2">
      <c r="A126" s="13" t="s">
        <v>426</v>
      </c>
      <c r="B126" s="14" t="s">
        <v>216</v>
      </c>
    </row>
    <row r="127" spans="1:2">
      <c r="A127" s="13" t="s">
        <v>427</v>
      </c>
      <c r="B127" s="14" t="s">
        <v>218</v>
      </c>
    </row>
    <row r="128" spans="1:2">
      <c r="A128" s="13" t="s">
        <v>428</v>
      </c>
      <c r="B128" s="14" t="s">
        <v>216</v>
      </c>
    </row>
    <row r="129" spans="1:2">
      <c r="A129" s="13" t="s">
        <v>429</v>
      </c>
      <c r="B129" s="14" t="s">
        <v>218</v>
      </c>
    </row>
    <row r="130" spans="1:2">
      <c r="A130" s="15" t="s">
        <v>430</v>
      </c>
      <c r="B130" s="14" t="s">
        <v>216</v>
      </c>
    </row>
    <row r="131" spans="1:2">
      <c r="A131" s="13" t="s">
        <v>431</v>
      </c>
      <c r="B131" s="14" t="s">
        <v>218</v>
      </c>
    </row>
    <row r="132" ht="28.8" customHeight="1" spans="1:2">
      <c r="A132" s="15" t="s">
        <v>432</v>
      </c>
      <c r="B132" s="14" t="s">
        <v>218</v>
      </c>
    </row>
    <row r="133" ht="43.2" customHeight="1" spans="1:2">
      <c r="A133" s="15" t="s">
        <v>433</v>
      </c>
      <c r="B133" s="14" t="s">
        <v>218</v>
      </c>
    </row>
    <row r="134" spans="1:2">
      <c r="A134" s="13" t="s">
        <v>434</v>
      </c>
      <c r="B134" s="14" t="s">
        <v>218</v>
      </c>
    </row>
    <row r="135" spans="1:2">
      <c r="A135" s="13" t="s">
        <v>435</v>
      </c>
      <c r="B135" s="14" t="s">
        <v>227</v>
      </c>
    </row>
    <row r="136" spans="1:2">
      <c r="A136" s="13" t="s">
        <v>436</v>
      </c>
      <c r="B136" s="14" t="s">
        <v>227</v>
      </c>
    </row>
    <row r="137" spans="1:2">
      <c r="A137" s="13" t="s">
        <v>437</v>
      </c>
      <c r="B137" s="14" t="s">
        <v>216</v>
      </c>
    </row>
    <row r="138" spans="1:2">
      <c r="A138" s="13" t="s">
        <v>438</v>
      </c>
      <c r="B138" s="14" t="s">
        <v>227</v>
      </c>
    </row>
    <row r="139" spans="1:2">
      <c r="A139" s="13" t="s">
        <v>439</v>
      </c>
      <c r="B139" s="14" t="s">
        <v>216</v>
      </c>
    </row>
    <row r="140" spans="1:2">
      <c r="A140" s="13" t="s">
        <v>440</v>
      </c>
      <c r="B140" s="14" t="s">
        <v>218</v>
      </c>
    </row>
    <row r="141" spans="1:2">
      <c r="A141" s="13" t="s">
        <v>441</v>
      </c>
      <c r="B141" s="14" t="s">
        <v>218</v>
      </c>
    </row>
    <row r="142" spans="1:2">
      <c r="A142" s="13" t="s">
        <v>442</v>
      </c>
      <c r="B142" s="14" t="s">
        <v>227</v>
      </c>
    </row>
    <row r="143" spans="1:2">
      <c r="A143" s="13" t="s">
        <v>443</v>
      </c>
      <c r="B143" s="14" t="s">
        <v>218</v>
      </c>
    </row>
    <row r="144" spans="1:2">
      <c r="A144" s="13" t="s">
        <v>444</v>
      </c>
      <c r="B144" s="14" t="s">
        <v>227</v>
      </c>
    </row>
    <row r="145" spans="1:2">
      <c r="A145" s="13" t="s">
        <v>445</v>
      </c>
      <c r="B145" s="14" t="s">
        <v>227</v>
      </c>
    </row>
    <row r="146" spans="1:2">
      <c r="A146" s="13" t="s">
        <v>446</v>
      </c>
      <c r="B146" s="14" t="s">
        <v>216</v>
      </c>
    </row>
    <row r="147" spans="1:2">
      <c r="A147" s="13" t="s">
        <v>447</v>
      </c>
      <c r="B147" s="14" t="s">
        <v>227</v>
      </c>
    </row>
    <row r="148" spans="1:2">
      <c r="A148" s="13" t="s">
        <v>448</v>
      </c>
      <c r="B148" s="14" t="s">
        <v>216</v>
      </c>
    </row>
    <row r="149" spans="1:2">
      <c r="A149" s="13" t="s">
        <v>449</v>
      </c>
      <c r="B149" s="14" t="s">
        <v>216</v>
      </c>
    </row>
    <row r="150" spans="1:2">
      <c r="A150" s="13" t="s">
        <v>450</v>
      </c>
      <c r="B150" s="14" t="s">
        <v>216</v>
      </c>
    </row>
    <row r="151" spans="1:2">
      <c r="A151" s="13" t="s">
        <v>451</v>
      </c>
      <c r="B151" s="14" t="s">
        <v>218</v>
      </c>
    </row>
    <row r="152" spans="1:2">
      <c r="A152" s="13" t="s">
        <v>452</v>
      </c>
      <c r="B152" s="14" t="s">
        <v>227</v>
      </c>
    </row>
    <row r="153" spans="1:2">
      <c r="A153" s="13" t="s">
        <v>453</v>
      </c>
      <c r="B153" s="14" t="s">
        <v>218</v>
      </c>
    </row>
    <row r="154" spans="1:2">
      <c r="A154" s="13" t="s">
        <v>454</v>
      </c>
      <c r="B154" s="14" t="s">
        <v>216</v>
      </c>
    </row>
    <row r="155" spans="1:2">
      <c r="A155" s="13" t="s">
        <v>455</v>
      </c>
      <c r="B155" s="14" t="s">
        <v>216</v>
      </c>
    </row>
    <row r="156" spans="1:2">
      <c r="A156" s="13" t="s">
        <v>456</v>
      </c>
      <c r="B156" s="14" t="s">
        <v>218</v>
      </c>
    </row>
    <row r="157" spans="1:2">
      <c r="A157" s="13" t="s">
        <v>457</v>
      </c>
      <c r="B157" s="14" t="s">
        <v>227</v>
      </c>
    </row>
    <row r="158" spans="1:2">
      <c r="A158" s="13" t="s">
        <v>458</v>
      </c>
      <c r="B158" s="14" t="s">
        <v>216</v>
      </c>
    </row>
    <row r="159" spans="1:2">
      <c r="A159" s="13" t="s">
        <v>459</v>
      </c>
      <c r="B159" s="14" t="s">
        <v>216</v>
      </c>
    </row>
    <row r="160" spans="1:2">
      <c r="A160" s="13" t="s">
        <v>460</v>
      </c>
      <c r="B160" s="14" t="s">
        <v>218</v>
      </c>
    </row>
    <row r="161" spans="1:2">
      <c r="A161" s="13" t="s">
        <v>461</v>
      </c>
      <c r="B161" s="14" t="s">
        <v>218</v>
      </c>
    </row>
    <row r="162" spans="1:2">
      <c r="A162" s="13" t="s">
        <v>462</v>
      </c>
      <c r="B162" s="14" t="s">
        <v>227</v>
      </c>
    </row>
    <row r="163" spans="1:2">
      <c r="A163" s="13" t="s">
        <v>463</v>
      </c>
      <c r="B163" s="14" t="s">
        <v>227</v>
      </c>
    </row>
    <row r="164" spans="1:2">
      <c r="A164" s="15" t="s">
        <v>464</v>
      </c>
      <c r="B164" s="14" t="s">
        <v>216</v>
      </c>
    </row>
    <row r="165" spans="1:2">
      <c r="A165" s="14" t="s">
        <v>465</v>
      </c>
      <c r="B165" s="14" t="s">
        <v>216</v>
      </c>
    </row>
    <row r="166" spans="1:2">
      <c r="A166" s="15" t="s">
        <v>466</v>
      </c>
      <c r="B166" s="14" t="s">
        <v>216</v>
      </c>
    </row>
    <row r="167" spans="1:2">
      <c r="A167" s="15" t="s">
        <v>467</v>
      </c>
      <c r="B167" s="14" t="s">
        <v>216</v>
      </c>
    </row>
    <row r="168" spans="1:2">
      <c r="A168" s="15" t="s">
        <v>468</v>
      </c>
      <c r="B168" s="14" t="s">
        <v>227</v>
      </c>
    </row>
    <row r="169" spans="1:2">
      <c r="A169" s="15" t="s">
        <v>469</v>
      </c>
      <c r="B169" s="14" t="s">
        <v>216</v>
      </c>
    </row>
    <row r="170" spans="1:2">
      <c r="A170" s="15" t="s">
        <v>470</v>
      </c>
      <c r="B170" s="14" t="s">
        <v>227</v>
      </c>
    </row>
    <row r="171" spans="1:2">
      <c r="A171" s="15" t="s">
        <v>471</v>
      </c>
      <c r="B171" s="14" t="s">
        <v>227</v>
      </c>
    </row>
    <row r="172" spans="1:2">
      <c r="A172" s="13" t="s">
        <v>472</v>
      </c>
      <c r="B172" s="14" t="s">
        <v>218</v>
      </c>
    </row>
    <row r="173" spans="1:2">
      <c r="A173" s="13" t="s">
        <v>473</v>
      </c>
      <c r="B173" s="14" t="s">
        <v>216</v>
      </c>
    </row>
    <row r="174" spans="1:2">
      <c r="A174" s="13" t="s">
        <v>301</v>
      </c>
      <c r="B174" s="14" t="s">
        <v>227</v>
      </c>
    </row>
    <row r="175" spans="1:2">
      <c r="A175" s="13" t="s">
        <v>99</v>
      </c>
      <c r="B175" s="14" t="s">
        <v>216</v>
      </c>
    </row>
    <row r="176" spans="1:2">
      <c r="A176" s="13" t="s">
        <v>93</v>
      </c>
      <c r="B176" s="14" t="s">
        <v>218</v>
      </c>
    </row>
    <row r="177" spans="1:2">
      <c r="A177" s="13" t="s">
        <v>74</v>
      </c>
      <c r="B177" s="14" t="s">
        <v>216</v>
      </c>
    </row>
    <row r="178" spans="1:2">
      <c r="A178" s="13" t="s">
        <v>81</v>
      </c>
      <c r="B178" s="14" t="s">
        <v>218</v>
      </c>
    </row>
    <row r="179" spans="1:2">
      <c r="A179" s="13" t="s">
        <v>101</v>
      </c>
      <c r="B179" s="14" t="s">
        <v>227</v>
      </c>
    </row>
    <row r="180" spans="1:2">
      <c r="A180" s="13" t="s">
        <v>87</v>
      </c>
      <c r="B180" s="14" t="s">
        <v>227</v>
      </c>
    </row>
    <row r="181" spans="1:2">
      <c r="A181" s="13" t="s">
        <v>77</v>
      </c>
      <c r="B181" s="14" t="s">
        <v>227</v>
      </c>
    </row>
    <row r="182" spans="1:2">
      <c r="A182" s="13" t="s">
        <v>83</v>
      </c>
      <c r="B182" s="14" t="s">
        <v>216</v>
      </c>
    </row>
    <row r="183" spans="1:2">
      <c r="A183" s="13" t="s">
        <v>95</v>
      </c>
      <c r="B183" s="14" t="s">
        <v>218</v>
      </c>
    </row>
    <row r="184" spans="1:2">
      <c r="A184" s="13" t="s">
        <v>104</v>
      </c>
      <c r="B184" s="14" t="s">
        <v>216</v>
      </c>
    </row>
    <row r="185" spans="1:2">
      <c r="A185" s="13" t="s">
        <v>98</v>
      </c>
      <c r="B185" s="14" t="s">
        <v>216</v>
      </c>
    </row>
    <row r="186" spans="1:2">
      <c r="A186" s="13" t="s">
        <v>97</v>
      </c>
      <c r="B186" s="14" t="s">
        <v>218</v>
      </c>
    </row>
    <row r="187" spans="1:2">
      <c r="A187" s="13" t="s">
        <v>90</v>
      </c>
      <c r="B187" s="14" t="s">
        <v>227</v>
      </c>
    </row>
    <row r="188" spans="1:2">
      <c r="A188" s="13" t="s">
        <v>100</v>
      </c>
      <c r="B188" s="14" t="s">
        <v>218</v>
      </c>
    </row>
    <row r="189" spans="1:2">
      <c r="A189" s="13" t="s">
        <v>91</v>
      </c>
      <c r="B189" s="14" t="s">
        <v>216</v>
      </c>
    </row>
    <row r="190" spans="1:2">
      <c r="A190" s="13" t="s">
        <v>105</v>
      </c>
      <c r="B190" s="14" t="s">
        <v>227</v>
      </c>
    </row>
    <row r="191" spans="1:2">
      <c r="A191" s="13" t="s">
        <v>92</v>
      </c>
      <c r="B191" s="14" t="s">
        <v>227</v>
      </c>
    </row>
    <row r="192" spans="1:2">
      <c r="A192" s="13" t="s">
        <v>106</v>
      </c>
      <c r="B192" s="14" t="s">
        <v>227</v>
      </c>
    </row>
    <row r="193" spans="1:2">
      <c r="A193" s="13" t="s">
        <v>96</v>
      </c>
      <c r="B193" s="14" t="s">
        <v>216</v>
      </c>
    </row>
    <row r="194" spans="1:2">
      <c r="A194" s="16" t="s">
        <v>287</v>
      </c>
      <c r="B194" s="14" t="s">
        <v>216</v>
      </c>
    </row>
    <row r="195" spans="1:2">
      <c r="A195" s="13" t="s">
        <v>102</v>
      </c>
      <c r="B195" s="14" t="s">
        <v>227</v>
      </c>
    </row>
    <row r="196" spans="1:2">
      <c r="A196" s="13" t="s">
        <v>103</v>
      </c>
      <c r="B196" s="14" t="s">
        <v>227</v>
      </c>
    </row>
    <row r="197" spans="1:2">
      <c r="A197" s="13" t="s">
        <v>89</v>
      </c>
      <c r="B197" s="14" t="s">
        <v>218</v>
      </c>
    </row>
    <row r="198" spans="1:2">
      <c r="A198" s="13" t="s">
        <v>94</v>
      </c>
      <c r="B198" s="14" t="s">
        <v>218</v>
      </c>
    </row>
    <row r="199" spans="1:2">
      <c r="A199" s="13" t="s">
        <v>79</v>
      </c>
      <c r="B199" s="14" t="s">
        <v>218</v>
      </c>
    </row>
    <row r="200" spans="1:2">
      <c r="A200" s="13" t="s">
        <v>85</v>
      </c>
      <c r="B200" s="14" t="s">
        <v>216</v>
      </c>
    </row>
    <row r="201" spans="1:2">
      <c r="A201" s="14" t="s">
        <v>288</v>
      </c>
      <c r="B201" s="14" t="s">
        <v>227</v>
      </c>
    </row>
    <row r="202" spans="1:2">
      <c r="A202" s="13" t="s">
        <v>107</v>
      </c>
      <c r="B202" s="14" t="s">
        <v>216</v>
      </c>
    </row>
    <row r="203" spans="1:2">
      <c r="A203" s="13" t="s">
        <v>123</v>
      </c>
      <c r="B203" s="14" t="s">
        <v>216</v>
      </c>
    </row>
    <row r="204" spans="1:2">
      <c r="A204" s="13" t="s">
        <v>122</v>
      </c>
      <c r="B204" s="14" t="s">
        <v>218</v>
      </c>
    </row>
    <row r="205" spans="1:2">
      <c r="A205" s="13" t="s">
        <v>124</v>
      </c>
      <c r="B205" s="14" t="s">
        <v>216</v>
      </c>
    </row>
    <row r="206" spans="1:2">
      <c r="A206" s="13" t="s">
        <v>121</v>
      </c>
      <c r="B206" s="14" t="s">
        <v>218</v>
      </c>
    </row>
    <row r="207" spans="1:2">
      <c r="A207" s="13" t="s">
        <v>112</v>
      </c>
      <c r="B207" s="14" t="s">
        <v>216</v>
      </c>
    </row>
    <row r="208" spans="1:2">
      <c r="A208" s="13" t="s">
        <v>125</v>
      </c>
      <c r="B208" s="14" t="s">
        <v>216</v>
      </c>
    </row>
    <row r="209" spans="1:2">
      <c r="A209" s="13" t="s">
        <v>119</v>
      </c>
      <c r="B209" s="14" t="s">
        <v>218</v>
      </c>
    </row>
    <row r="210" spans="1:2">
      <c r="A210" s="13" t="s">
        <v>129</v>
      </c>
      <c r="B210" s="14" t="s">
        <v>218</v>
      </c>
    </row>
    <row r="211" spans="1:2">
      <c r="A211" s="13" t="s">
        <v>128</v>
      </c>
      <c r="B211" s="14" t="s">
        <v>218</v>
      </c>
    </row>
    <row r="212" spans="1:2">
      <c r="A212" s="13" t="s">
        <v>132</v>
      </c>
      <c r="B212" s="14" t="s">
        <v>218</v>
      </c>
    </row>
    <row r="213" spans="1:2">
      <c r="A213" s="16" t="s">
        <v>108</v>
      </c>
      <c r="B213" s="14" t="s">
        <v>227</v>
      </c>
    </row>
    <row r="214" spans="1:2">
      <c r="A214" s="16" t="s">
        <v>109</v>
      </c>
      <c r="B214" s="14" t="s">
        <v>216</v>
      </c>
    </row>
    <row r="215" spans="1:2">
      <c r="A215" s="13" t="s">
        <v>292</v>
      </c>
      <c r="B215" s="14" t="s">
        <v>227</v>
      </c>
    </row>
    <row r="216" spans="1:2">
      <c r="A216" s="13" t="s">
        <v>296</v>
      </c>
      <c r="B216" s="14" t="s">
        <v>216</v>
      </c>
    </row>
    <row r="217" spans="1:2">
      <c r="A217" s="13" t="s">
        <v>130</v>
      </c>
      <c r="B217" s="14" t="s">
        <v>227</v>
      </c>
    </row>
    <row r="218" spans="1:2">
      <c r="A218" s="13" t="s">
        <v>155</v>
      </c>
      <c r="B218" s="14" t="s">
        <v>227</v>
      </c>
    </row>
    <row r="219" spans="1:2">
      <c r="A219" s="13" t="s">
        <v>163</v>
      </c>
      <c r="B219" s="14" t="s">
        <v>216</v>
      </c>
    </row>
    <row r="220" spans="1:2">
      <c r="A220" s="13" t="s">
        <v>127</v>
      </c>
      <c r="B220" s="14" t="s">
        <v>227</v>
      </c>
    </row>
    <row r="221" spans="1:2">
      <c r="A221" s="13" t="s">
        <v>111</v>
      </c>
      <c r="B221" s="14" t="s">
        <v>218</v>
      </c>
    </row>
    <row r="222" spans="1:2">
      <c r="A222" s="13" t="s">
        <v>118</v>
      </c>
      <c r="B222" s="14" t="s">
        <v>216</v>
      </c>
    </row>
    <row r="223" spans="1:2">
      <c r="A223" s="13" t="s">
        <v>173</v>
      </c>
      <c r="B223" s="14" t="s">
        <v>218</v>
      </c>
    </row>
    <row r="224" spans="1:2">
      <c r="A224" s="13" t="s">
        <v>113</v>
      </c>
      <c r="B224" s="14" t="s">
        <v>227</v>
      </c>
    </row>
    <row r="225" spans="1:2">
      <c r="A225" s="13" t="s">
        <v>142</v>
      </c>
      <c r="B225" s="14" t="s">
        <v>216</v>
      </c>
    </row>
    <row r="226" spans="1:2">
      <c r="A226" s="13" t="s">
        <v>110</v>
      </c>
      <c r="B226" s="14" t="s">
        <v>227</v>
      </c>
    </row>
    <row r="227" spans="1:2">
      <c r="A227" s="13" t="s">
        <v>293</v>
      </c>
      <c r="B227" s="14" t="s">
        <v>216</v>
      </c>
    </row>
    <row r="228" spans="1:2">
      <c r="A228" s="13" t="s">
        <v>116</v>
      </c>
      <c r="B228" s="14" t="s">
        <v>227</v>
      </c>
    </row>
    <row r="229" spans="1:2">
      <c r="A229" s="13" t="s">
        <v>120</v>
      </c>
      <c r="B229" s="14" t="s">
        <v>218</v>
      </c>
    </row>
    <row r="230" spans="1:2">
      <c r="A230" s="13" t="s">
        <v>117</v>
      </c>
      <c r="B230" s="14" t="s">
        <v>227</v>
      </c>
    </row>
    <row r="231" spans="1:2">
      <c r="A231" s="13" t="s">
        <v>291</v>
      </c>
      <c r="B231" s="14" t="s">
        <v>216</v>
      </c>
    </row>
    <row r="232" spans="1:2">
      <c r="A232" s="16" t="s">
        <v>151</v>
      </c>
      <c r="B232" s="14" t="s">
        <v>227</v>
      </c>
    </row>
    <row r="233" spans="1:2">
      <c r="A233" s="13" t="s">
        <v>126</v>
      </c>
      <c r="B233" s="14" t="s">
        <v>227</v>
      </c>
    </row>
    <row r="234" spans="1:2">
      <c r="A234" s="13" t="s">
        <v>289</v>
      </c>
      <c r="B234" s="14" t="s">
        <v>218</v>
      </c>
    </row>
    <row r="235" spans="1:2">
      <c r="A235" s="13" t="s">
        <v>136</v>
      </c>
      <c r="B235" s="14" t="s">
        <v>218</v>
      </c>
    </row>
    <row r="236" spans="1:2">
      <c r="A236" s="14" t="s">
        <v>180</v>
      </c>
      <c r="B236" s="14" t="s">
        <v>216</v>
      </c>
    </row>
    <row r="237" spans="1:2">
      <c r="A237" s="14" t="s">
        <v>181</v>
      </c>
      <c r="B237" s="14" t="s">
        <v>227</v>
      </c>
    </row>
    <row r="238" spans="1:2">
      <c r="A238" s="13" t="s">
        <v>133</v>
      </c>
      <c r="B238" s="14" t="s">
        <v>218</v>
      </c>
    </row>
    <row r="239" spans="1:2">
      <c r="A239" s="13" t="s">
        <v>290</v>
      </c>
      <c r="B239" s="14" t="s">
        <v>227</v>
      </c>
    </row>
    <row r="240" spans="1:2">
      <c r="A240" s="13" t="s">
        <v>131</v>
      </c>
      <c r="B240" s="14" t="s">
        <v>216</v>
      </c>
    </row>
    <row r="241" spans="1:2">
      <c r="A241" s="13" t="s">
        <v>114</v>
      </c>
      <c r="B241" s="14" t="s">
        <v>227</v>
      </c>
    </row>
    <row r="242" spans="1:2">
      <c r="A242" s="13" t="s">
        <v>154</v>
      </c>
      <c r="B242" s="14" t="s">
        <v>218</v>
      </c>
    </row>
    <row r="243" spans="1:2">
      <c r="A243" s="13" t="s">
        <v>172</v>
      </c>
      <c r="B243" s="14" t="s">
        <v>216</v>
      </c>
    </row>
    <row r="244" spans="1:2">
      <c r="A244" s="13" t="s">
        <v>159</v>
      </c>
      <c r="B244" s="14" t="s">
        <v>216</v>
      </c>
    </row>
    <row r="245" spans="1:2">
      <c r="A245" s="13" t="s">
        <v>175</v>
      </c>
      <c r="B245" s="14" t="s">
        <v>216</v>
      </c>
    </row>
    <row r="246" spans="1:2">
      <c r="A246" s="13" t="s">
        <v>295</v>
      </c>
      <c r="B246" s="14" t="s">
        <v>216</v>
      </c>
    </row>
    <row r="247" spans="1:2">
      <c r="A247" s="13" t="s">
        <v>165</v>
      </c>
      <c r="B247" s="14" t="s">
        <v>227</v>
      </c>
    </row>
    <row r="248" spans="1:2">
      <c r="A248" s="13" t="s">
        <v>139</v>
      </c>
      <c r="B248" s="14" t="s">
        <v>218</v>
      </c>
    </row>
    <row r="249" spans="1:2">
      <c r="A249" s="13" t="s">
        <v>297</v>
      </c>
      <c r="B249" s="14" t="s">
        <v>227</v>
      </c>
    </row>
    <row r="250" spans="1:2">
      <c r="A250" s="13" t="s">
        <v>179</v>
      </c>
      <c r="B250" s="14" t="s">
        <v>218</v>
      </c>
    </row>
    <row r="251" spans="1:2">
      <c r="A251" s="16" t="s">
        <v>158</v>
      </c>
      <c r="B251" s="14" t="s">
        <v>218</v>
      </c>
    </row>
    <row r="252" spans="1:2">
      <c r="A252" s="13" t="s">
        <v>188</v>
      </c>
      <c r="B252" s="14" t="s">
        <v>216</v>
      </c>
    </row>
    <row r="253" spans="1:2">
      <c r="A253" s="13" t="s">
        <v>190</v>
      </c>
      <c r="B253" s="14" t="s">
        <v>218</v>
      </c>
    </row>
    <row r="254" spans="1:2">
      <c r="A254" s="13" t="s">
        <v>168</v>
      </c>
      <c r="B254" s="14" t="s">
        <v>218</v>
      </c>
    </row>
    <row r="255" spans="1:2">
      <c r="A255" s="13" t="s">
        <v>174</v>
      </c>
      <c r="B255" s="14" t="s">
        <v>227</v>
      </c>
    </row>
    <row r="256" spans="1:2">
      <c r="A256" s="13" t="s">
        <v>189</v>
      </c>
      <c r="B256" s="14" t="s">
        <v>218</v>
      </c>
    </row>
    <row r="257" spans="1:2">
      <c r="A257" s="13" t="s">
        <v>197</v>
      </c>
      <c r="B257" s="14" t="s">
        <v>227</v>
      </c>
    </row>
    <row r="258" spans="1:2">
      <c r="A258" s="13" t="s">
        <v>141</v>
      </c>
      <c r="B258" s="14" t="s">
        <v>216</v>
      </c>
    </row>
    <row r="259" spans="1:2">
      <c r="A259" s="16" t="s">
        <v>152</v>
      </c>
      <c r="B259" s="14" t="s">
        <v>218</v>
      </c>
    </row>
    <row r="260" spans="1:2">
      <c r="A260" s="13" t="s">
        <v>167</v>
      </c>
      <c r="B260" s="14" t="s">
        <v>218</v>
      </c>
    </row>
    <row r="261" spans="1:2">
      <c r="A261" s="13" t="s">
        <v>294</v>
      </c>
      <c r="B261" s="14" t="s">
        <v>227</v>
      </c>
    </row>
    <row r="262" spans="1:2">
      <c r="A262" s="16" t="s">
        <v>145</v>
      </c>
      <c r="B262" s="14" t="s">
        <v>216</v>
      </c>
    </row>
    <row r="263" spans="1:2">
      <c r="A263" s="16" t="s">
        <v>134</v>
      </c>
      <c r="B263" s="14" t="s">
        <v>216</v>
      </c>
    </row>
    <row r="264" spans="1:2">
      <c r="A264" s="13" t="s">
        <v>177</v>
      </c>
      <c r="B264" s="14" t="s">
        <v>216</v>
      </c>
    </row>
    <row r="265" spans="1:2">
      <c r="A265" s="13" t="s">
        <v>178</v>
      </c>
      <c r="B265" s="14" t="s">
        <v>216</v>
      </c>
    </row>
    <row r="266" spans="1:2">
      <c r="A266" s="13" t="s">
        <v>143</v>
      </c>
      <c r="B266" s="14" t="s">
        <v>218</v>
      </c>
    </row>
    <row r="267" spans="1:2">
      <c r="A267" s="13" t="s">
        <v>176</v>
      </c>
      <c r="B267" s="14" t="s">
        <v>218</v>
      </c>
    </row>
    <row r="268" spans="1:2">
      <c r="A268" s="13" t="s">
        <v>192</v>
      </c>
      <c r="B268" s="14" t="s">
        <v>216</v>
      </c>
    </row>
    <row r="269" spans="1:2">
      <c r="A269" s="13" t="s">
        <v>135</v>
      </c>
      <c r="B269" s="14" t="s">
        <v>227</v>
      </c>
    </row>
    <row r="270" spans="1:2">
      <c r="A270" s="14" t="s">
        <v>137</v>
      </c>
      <c r="B270" s="14" t="s">
        <v>227</v>
      </c>
    </row>
    <row r="271" spans="1:2">
      <c r="A271" s="14" t="s">
        <v>198</v>
      </c>
      <c r="B271" s="14" t="s">
        <v>227</v>
      </c>
    </row>
    <row r="272" spans="1:2">
      <c r="A272" s="14" t="s">
        <v>203</v>
      </c>
      <c r="B272" s="14" t="s">
        <v>216</v>
      </c>
    </row>
    <row r="273" spans="1:2">
      <c r="A273" s="13" t="s">
        <v>194</v>
      </c>
      <c r="B273" s="14" t="s">
        <v>227</v>
      </c>
    </row>
    <row r="274" spans="1:2">
      <c r="A274" s="13" t="s">
        <v>195</v>
      </c>
      <c r="B274" s="14" t="s">
        <v>216</v>
      </c>
    </row>
    <row r="275" spans="1:2">
      <c r="A275" s="16" t="s">
        <v>147</v>
      </c>
      <c r="B275" s="14" t="s">
        <v>218</v>
      </c>
    </row>
    <row r="276" spans="1:2">
      <c r="A276" s="13" t="s">
        <v>191</v>
      </c>
      <c r="B276" s="14" t="s">
        <v>227</v>
      </c>
    </row>
    <row r="277" spans="1:2">
      <c r="A277" s="13" t="s">
        <v>196</v>
      </c>
      <c r="B277" s="14" t="s">
        <v>216</v>
      </c>
    </row>
    <row r="278" spans="1:2">
      <c r="A278" s="13" t="s">
        <v>184</v>
      </c>
      <c r="B278" s="14" t="s">
        <v>227</v>
      </c>
    </row>
    <row r="279" spans="1:2">
      <c r="A279" s="13" t="s">
        <v>186</v>
      </c>
      <c r="B279" s="14" t="s">
        <v>216</v>
      </c>
    </row>
    <row r="280" spans="1:2">
      <c r="A280" s="13" t="s">
        <v>171</v>
      </c>
      <c r="B280" s="14" t="s">
        <v>218</v>
      </c>
    </row>
    <row r="281" spans="1:2">
      <c r="A281" s="13" t="s">
        <v>170</v>
      </c>
      <c r="B281" s="14" t="s">
        <v>218</v>
      </c>
    </row>
    <row r="282" spans="1:2">
      <c r="A282" s="13" t="s">
        <v>169</v>
      </c>
      <c r="B282" s="14" t="s">
        <v>227</v>
      </c>
    </row>
    <row r="283" spans="1:2">
      <c r="A283" s="13" t="s">
        <v>153</v>
      </c>
      <c r="B283" s="14" t="s">
        <v>227</v>
      </c>
    </row>
    <row r="284" spans="1:2">
      <c r="A284" s="13" t="s">
        <v>166</v>
      </c>
      <c r="B284" s="14" t="s">
        <v>227</v>
      </c>
    </row>
    <row r="285" spans="1:2">
      <c r="A285" s="13" t="s">
        <v>148</v>
      </c>
      <c r="B285" s="14" t="s">
        <v>227</v>
      </c>
    </row>
    <row r="286" spans="1:2">
      <c r="A286" s="13" t="s">
        <v>162</v>
      </c>
      <c r="B286" s="14" t="s">
        <v>227</v>
      </c>
    </row>
    <row r="287" spans="1:2">
      <c r="A287" s="13" t="s">
        <v>164</v>
      </c>
      <c r="B287" s="14" t="s">
        <v>227</v>
      </c>
    </row>
    <row r="288" spans="1:2">
      <c r="A288" s="13" t="s">
        <v>140</v>
      </c>
      <c r="B288" s="14" t="s">
        <v>218</v>
      </c>
    </row>
    <row r="289" spans="1:2">
      <c r="A289" s="16" t="s">
        <v>144</v>
      </c>
      <c r="B289" s="14" t="s">
        <v>227</v>
      </c>
    </row>
    <row r="290" spans="1:2">
      <c r="A290" s="16" t="s">
        <v>156</v>
      </c>
      <c r="B290" s="14" t="s">
        <v>218</v>
      </c>
    </row>
    <row r="291" spans="1:2">
      <c r="A291" s="13" t="s">
        <v>146</v>
      </c>
      <c r="B291" s="14" t="s">
        <v>216</v>
      </c>
    </row>
    <row r="292" spans="1:2">
      <c r="A292" s="13" t="s">
        <v>161</v>
      </c>
      <c r="B292" s="14" t="s">
        <v>227</v>
      </c>
    </row>
    <row r="293" spans="1:2">
      <c r="A293" s="16" t="s">
        <v>157</v>
      </c>
      <c r="B293" s="14" t="s">
        <v>227</v>
      </c>
    </row>
    <row r="294" spans="1:2">
      <c r="A294" s="13" t="s">
        <v>187</v>
      </c>
      <c r="B294" s="14" t="s">
        <v>216</v>
      </c>
    </row>
    <row r="295" spans="1:2">
      <c r="A295" s="16" t="s">
        <v>138</v>
      </c>
      <c r="B295" s="14" t="s">
        <v>218</v>
      </c>
    </row>
    <row r="296" spans="1:2">
      <c r="A296" s="16" t="s">
        <v>150</v>
      </c>
      <c r="B296" s="14" t="s">
        <v>218</v>
      </c>
    </row>
    <row r="297" spans="1:2">
      <c r="A297" s="13" t="s">
        <v>183</v>
      </c>
      <c r="B297" s="14" t="s">
        <v>227</v>
      </c>
    </row>
    <row r="298" spans="1:2">
      <c r="A298" s="13" t="s">
        <v>185</v>
      </c>
      <c r="B298" s="14" t="s">
        <v>218</v>
      </c>
    </row>
    <row r="299" spans="1:2">
      <c r="A299" s="13" t="s">
        <v>160</v>
      </c>
      <c r="B299" s="14" t="s">
        <v>218</v>
      </c>
    </row>
    <row r="300" spans="1:2">
      <c r="A300" s="16" t="s">
        <v>149</v>
      </c>
      <c r="B300" s="14" t="s">
        <v>216</v>
      </c>
    </row>
    <row r="301" spans="1:2">
      <c r="A301" s="13" t="s">
        <v>193</v>
      </c>
      <c r="B301" s="14" t="s">
        <v>227</v>
      </c>
    </row>
    <row r="302" spans="1:2">
      <c r="A302" s="14" t="s">
        <v>199</v>
      </c>
      <c r="B302" s="14" t="s">
        <v>218</v>
      </c>
    </row>
    <row r="303" spans="1:2">
      <c r="A303" s="14" t="s">
        <v>200</v>
      </c>
      <c r="B303" s="14" t="s">
        <v>218</v>
      </c>
    </row>
    <row r="304" spans="1:2">
      <c r="A304" s="14" t="s">
        <v>201</v>
      </c>
      <c r="B304" s="14" t="s">
        <v>227</v>
      </c>
    </row>
    <row r="305" spans="1:2">
      <c r="A305" s="15" t="s">
        <v>205</v>
      </c>
      <c r="B305" s="14" t="s">
        <v>227</v>
      </c>
    </row>
    <row r="306" spans="1:2">
      <c r="A306" s="15" t="s">
        <v>182</v>
      </c>
      <c r="B306" s="14" t="s">
        <v>218</v>
      </c>
    </row>
    <row r="307" spans="1:2">
      <c r="A307" s="15" t="s">
        <v>213</v>
      </c>
      <c r="B307" s="14" t="s">
        <v>227</v>
      </c>
    </row>
    <row r="308" spans="1:2">
      <c r="A308" s="15" t="s">
        <v>202</v>
      </c>
      <c r="B308" s="14" t="s">
        <v>218</v>
      </c>
    </row>
    <row r="309" spans="1:2">
      <c r="A309" s="15" t="s">
        <v>214</v>
      </c>
      <c r="B309" s="14" t="s">
        <v>216</v>
      </c>
    </row>
    <row r="310" spans="1:2">
      <c r="A310" s="15" t="s">
        <v>204</v>
      </c>
      <c r="B310" s="14" t="s">
        <v>216</v>
      </c>
    </row>
    <row r="311" spans="1:2">
      <c r="A311" s="15" t="s">
        <v>206</v>
      </c>
      <c r="B311" s="14" t="s">
        <v>218</v>
      </c>
    </row>
    <row r="312" spans="1:2">
      <c r="A312" s="15" t="s">
        <v>208</v>
      </c>
      <c r="B312" s="14" t="s">
        <v>227</v>
      </c>
    </row>
    <row r="313" spans="1:2">
      <c r="A313" s="15" t="s">
        <v>207</v>
      </c>
      <c r="B313" s="14" t="s">
        <v>218</v>
      </c>
    </row>
    <row r="314" spans="1:2">
      <c r="A314" s="15" t="s">
        <v>474</v>
      </c>
      <c r="B314" s="14" t="s">
        <v>227</v>
      </c>
    </row>
    <row r="315" spans="1:2">
      <c r="A315" s="15" t="s">
        <v>475</v>
      </c>
      <c r="B315" s="14" t="s">
        <v>218</v>
      </c>
    </row>
    <row r="316" spans="1:2">
      <c r="A316" s="15" t="s">
        <v>476</v>
      </c>
      <c r="B316" s="14" t="s">
        <v>227</v>
      </c>
    </row>
    <row r="317" spans="1:2">
      <c r="A317" s="15" t="s">
        <v>477</v>
      </c>
      <c r="B317" s="14" t="s">
        <v>227</v>
      </c>
    </row>
    <row r="318" spans="1:2">
      <c r="A318" s="15" t="s">
        <v>209</v>
      </c>
      <c r="B318" s="14" t="s">
        <v>216</v>
      </c>
    </row>
    <row r="319" spans="1:2">
      <c r="A319" s="15" t="s">
        <v>210</v>
      </c>
      <c r="B319" s="14" t="s">
        <v>227</v>
      </c>
    </row>
    <row r="320" spans="1:2">
      <c r="A320" s="15" t="s">
        <v>211</v>
      </c>
      <c r="B320" s="14" t="s">
        <v>218</v>
      </c>
    </row>
    <row r="321" spans="1:2">
      <c r="A321" s="15" t="s">
        <v>212</v>
      </c>
      <c r="B321" s="14" t="s">
        <v>216</v>
      </c>
    </row>
    <row r="322" spans="1:2">
      <c r="A322" s="15" t="s">
        <v>220</v>
      </c>
      <c r="B322" s="14" t="s">
        <v>216</v>
      </c>
    </row>
    <row r="323" spans="1:2">
      <c r="A323" s="15" t="s">
        <v>224</v>
      </c>
      <c r="B323" s="14" t="s">
        <v>216</v>
      </c>
    </row>
    <row r="324" spans="1:2">
      <c r="A324" s="15" t="s">
        <v>225</v>
      </c>
      <c r="B324" s="14" t="s">
        <v>218</v>
      </c>
    </row>
    <row r="325" spans="1:2">
      <c r="A325" s="15" t="s">
        <v>478</v>
      </c>
      <c r="B325" s="14" t="s">
        <v>218</v>
      </c>
    </row>
    <row r="326" spans="1:2">
      <c r="A326" s="15" t="s">
        <v>479</v>
      </c>
      <c r="B326" s="14" t="s">
        <v>218</v>
      </c>
    </row>
    <row r="327" spans="1:2">
      <c r="A327" s="15" t="s">
        <v>480</v>
      </c>
      <c r="B327" s="14" t="s">
        <v>227</v>
      </c>
    </row>
    <row r="328" spans="1:2">
      <c r="A328" s="15" t="s">
        <v>217</v>
      </c>
      <c r="B328" s="14" t="s">
        <v>218</v>
      </c>
    </row>
    <row r="329" spans="1:2">
      <c r="A329" s="15" t="s">
        <v>215</v>
      </c>
      <c r="B329" s="14" t="s">
        <v>216</v>
      </c>
    </row>
    <row r="330" spans="1:2">
      <c r="A330" s="15" t="s">
        <v>481</v>
      </c>
      <c r="B330" s="14" t="s">
        <v>227</v>
      </c>
    </row>
    <row r="331" spans="1:2">
      <c r="A331" s="15" t="s">
        <v>219</v>
      </c>
      <c r="B331" s="14" t="s">
        <v>218</v>
      </c>
    </row>
    <row r="332" spans="1:2">
      <c r="A332" s="15" t="s">
        <v>482</v>
      </c>
      <c r="B332" s="14" t="s">
        <v>227</v>
      </c>
    </row>
    <row r="333" spans="1:2">
      <c r="A333" s="15" t="s">
        <v>483</v>
      </c>
      <c r="B333" s="14" t="s">
        <v>227</v>
      </c>
    </row>
    <row r="334" spans="1:2">
      <c r="A334" s="15" t="s">
        <v>484</v>
      </c>
      <c r="B334" s="14" t="s">
        <v>227</v>
      </c>
    </row>
    <row r="335" spans="1:2">
      <c r="A335" s="15" t="s">
        <v>485</v>
      </c>
      <c r="B335" s="14" t="s">
        <v>216</v>
      </c>
    </row>
    <row r="336" spans="1:2">
      <c r="A336" s="15" t="s">
        <v>486</v>
      </c>
      <c r="B336" s="14" t="s">
        <v>218</v>
      </c>
    </row>
    <row r="337" spans="1:2">
      <c r="A337" s="15" t="s">
        <v>487</v>
      </c>
      <c r="B337" s="14" t="s">
        <v>218</v>
      </c>
    </row>
    <row r="338" spans="1:2">
      <c r="A338" s="15" t="s">
        <v>488</v>
      </c>
      <c r="B338" s="14" t="s">
        <v>216</v>
      </c>
    </row>
    <row r="339" spans="1:2">
      <c r="A339" s="15" t="s">
        <v>489</v>
      </c>
      <c r="B339" s="14" t="s">
        <v>227</v>
      </c>
    </row>
    <row r="340" spans="1:2">
      <c r="A340" s="15" t="s">
        <v>226</v>
      </c>
      <c r="B340" s="14" t="s">
        <v>227</v>
      </c>
    </row>
  </sheetData>
  <conditionalFormatting sqref="A1:A34 A38:A39 A41:A42 A44:A66 A68:A73 A76:A80 A82 A84:A85 A89 A91:A123 A126:A129 A131 A134:A137 A139:A149 A163 A168:A179 A184:A196 A201:A206 A208:A219 A233:A235 A241:A243 A245:A246 A249:A250 A252:A253 A268:A275 A277:A285 A287:A291 A310:A311 A313:A317 A341:A1048576">
    <cfRule type="duplicateValues" dxfId="8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topLeftCell="A11" workbookViewId="0">
      <selection activeCell="C9" sqref="C9"/>
    </sheetView>
  </sheetViews>
  <sheetFormatPr defaultColWidth="9" defaultRowHeight="15.6" outlineLevelCol="4"/>
  <cols>
    <col min="1" max="1" width="22" style="1" customWidth="1"/>
    <col min="2" max="2" width="25" style="1" customWidth="1"/>
    <col min="3" max="3" width="55" style="1" customWidth="1"/>
    <col min="4" max="4" width="50" style="1" customWidth="1"/>
    <col min="5" max="5" width="15" style="1" customWidth="1"/>
  </cols>
  <sheetData>
    <row r="1" ht="20.4" spans="1:4">
      <c r="A1" s="2" t="s">
        <v>490</v>
      </c>
    </row>
    <row r="3" ht="17.4" spans="1:4">
      <c r="A3" s="3" t="s">
        <v>491</v>
      </c>
    </row>
    <row r="4" spans="1:4">
      <c r="A4" s="4" t="s">
        <v>492</v>
      </c>
      <c r="B4" s="4" t="s">
        <v>493</v>
      </c>
      <c r="C4" s="4" t="s">
        <v>494</v>
      </c>
      <c r="D4" s="4" t="s">
        <v>495</v>
      </c>
    </row>
    <row r="5" spans="1:4">
      <c r="A5" s="5" t="s">
        <v>496</v>
      </c>
      <c r="B5" s="5" t="s">
        <v>32</v>
      </c>
      <c r="C5" s="5">
        <v>248310</v>
      </c>
      <c r="D5" s="5" t="s">
        <v>497</v>
      </c>
    </row>
    <row r="6" spans="1:4">
      <c r="A6" s="5" t="s">
        <v>45</v>
      </c>
      <c r="B6" s="5" t="s">
        <v>33</v>
      </c>
      <c r="C6" s="5" t="s">
        <v>74</v>
      </c>
      <c r="D6" s="5" t="s">
        <v>498</v>
      </c>
    </row>
    <row r="7" spans="1:4">
      <c r="A7" s="5" t="s">
        <v>499</v>
      </c>
      <c r="B7" s="5" t="s">
        <v>40</v>
      </c>
      <c r="C7" s="6">
        <v>43664</v>
      </c>
      <c r="D7" s="5" t="s">
        <v>500</v>
      </c>
    </row>
    <row r="8" spans="1:4">
      <c r="A8" s="5" t="s">
        <v>501</v>
      </c>
      <c r="B8" s="5" t="s">
        <v>42</v>
      </c>
      <c r="C8" s="6">
        <v>43702</v>
      </c>
      <c r="D8" s="5" t="s">
        <v>502</v>
      </c>
    </row>
    <row r="9" spans="1:4">
      <c r="A9" s="5" t="s">
        <v>503</v>
      </c>
      <c r="B9" s="5" t="s">
        <v>45</v>
      </c>
      <c r="C9" s="6">
        <v>44079</v>
      </c>
      <c r="D9" s="5" t="s">
        <v>504</v>
      </c>
    </row>
    <row r="10" spans="1:4">
      <c r="A10" s="5" t="s">
        <v>505</v>
      </c>
      <c r="B10" s="5" t="s">
        <v>48</v>
      </c>
      <c r="C10" s="6">
        <v>44831</v>
      </c>
      <c r="D10" s="5" t="s">
        <v>506</v>
      </c>
    </row>
    <row r="11" spans="1:4">
      <c r="A11" s="5" t="s">
        <v>507</v>
      </c>
      <c r="B11" s="5" t="s">
        <v>49</v>
      </c>
      <c r="C11" s="6">
        <v>45530</v>
      </c>
      <c r="D11" s="5" t="s">
        <v>508</v>
      </c>
    </row>
    <row r="12" spans="1:4">
      <c r="A12" s="5" t="s">
        <v>509</v>
      </c>
      <c r="B12" s="5" t="s">
        <v>51</v>
      </c>
      <c r="C12" s="6">
        <v>44056</v>
      </c>
      <c r="D12" s="5" t="s">
        <v>510</v>
      </c>
    </row>
    <row r="13" spans="1:4">
      <c r="A13" s="5" t="s">
        <v>511</v>
      </c>
      <c r="B13" s="5" t="s">
        <v>53</v>
      </c>
      <c r="C13" s="6">
        <v>45061</v>
      </c>
      <c r="D13" s="5" t="s">
        <v>512</v>
      </c>
    </row>
    <row r="14" spans="1:4">
      <c r="A14" s="5" t="s">
        <v>513</v>
      </c>
      <c r="B14" s="5" t="s">
        <v>55</v>
      </c>
      <c r="C14" s="6">
        <v>45725</v>
      </c>
      <c r="D14" s="5" t="s">
        <v>514</v>
      </c>
    </row>
    <row r="15" spans="1:4">
      <c r="A15" s="5" t="s">
        <v>515</v>
      </c>
      <c r="B15" s="5" t="s">
        <v>57</v>
      </c>
      <c r="C15" s="5" t="s">
        <v>75</v>
      </c>
      <c r="D15" s="5" t="s">
        <v>516</v>
      </c>
    </row>
    <row r="16" spans="1:4">
      <c r="A16" s="5" t="s">
        <v>517</v>
      </c>
      <c r="B16" s="5" t="s">
        <v>59</v>
      </c>
      <c r="C16" s="5" t="s">
        <v>75</v>
      </c>
      <c r="D16" s="5" t="s">
        <v>516</v>
      </c>
    </row>
    <row r="17" spans="1:5">
      <c r="A17" s="5" t="s">
        <v>518</v>
      </c>
      <c r="B17" s="5" t="s">
        <v>60</v>
      </c>
      <c r="C17" s="5" t="s">
        <v>75</v>
      </c>
      <c r="D17" s="5" t="s">
        <v>516</v>
      </c>
    </row>
    <row r="18" spans="1:5">
      <c r="A18" s="5" t="s">
        <v>519</v>
      </c>
      <c r="B18" s="5" t="s">
        <v>70</v>
      </c>
      <c r="C18" s="5">
        <v>51.5</v>
      </c>
      <c r="D18" s="5" t="s">
        <v>520</v>
      </c>
    </row>
    <row r="19" spans="1:5">
      <c r="A19" s="5" t="s">
        <v>521</v>
      </c>
      <c r="B19" s="5" t="s">
        <v>71</v>
      </c>
      <c r="C19" s="5" t="s">
        <v>522</v>
      </c>
      <c r="D19" s="5" t="s">
        <v>523</v>
      </c>
    </row>
    <row r="22" ht="17.4" spans="1:5">
      <c r="A22" s="3" t="s">
        <v>524</v>
      </c>
    </row>
    <row r="23" spans="1:5">
      <c r="A23" s="7" t="s">
        <v>492</v>
      </c>
      <c r="B23" s="7" t="s">
        <v>493</v>
      </c>
      <c r="C23" s="7" t="s">
        <v>525</v>
      </c>
      <c r="D23" s="7" t="s">
        <v>526</v>
      </c>
      <c r="E23" s="7" t="s">
        <v>527</v>
      </c>
    </row>
    <row r="24" spans="1:5">
      <c r="A24" s="8" t="s">
        <v>48</v>
      </c>
      <c r="B24" s="8" t="s">
        <v>34</v>
      </c>
      <c r="C24" s="8" t="e">
        <f>VLOOKUP(B2,'姓名+分部'!A:B,2,FALSE)</f>
        <v>#N/A</v>
      </c>
      <c r="D24" s="8" t="s">
        <v>528</v>
      </c>
      <c r="E24" s="8" t="s">
        <v>529</v>
      </c>
    </row>
    <row r="25" ht="31.2" spans="1:5">
      <c r="A25" s="8" t="s">
        <v>530</v>
      </c>
      <c r="B25" s="8" t="s">
        <v>36</v>
      </c>
      <c r="C25" s="8" t="str">
        <f>IF(Q2&gt;0,RANK(Y2,Y$2:Y$133),"无排名")</f>
        <v>无排名</v>
      </c>
      <c r="D25" s="8" t="s">
        <v>531</v>
      </c>
      <c r="E25" s="8" t="s">
        <v>532</v>
      </c>
    </row>
    <row r="26" ht="63" customHeight="1" spans="1:5">
      <c r="A26" s="8" t="s">
        <v>533</v>
      </c>
      <c r="B26" s="8" t="s">
        <v>37</v>
      </c>
      <c r="C26" s="8" t="str">
        <f>IF(AND(Y2&gt;1000,Q2&gt;0,T2&gt;0,V2&gt;0,AV2&gt;48,AI2&gt;3),"可流转","继续培训")</f>
        <v>继续培训</v>
      </c>
      <c r="D26" s="8" t="s">
        <v>534</v>
      </c>
      <c r="E26" s="8" t="s">
        <v>535</v>
      </c>
    </row>
    <row r="27" spans="1:5">
      <c r="A27" s="8" t="s">
        <v>536</v>
      </c>
      <c r="B27" s="8" t="s">
        <v>38</v>
      </c>
      <c r="C27" s="8" t="str">
        <f>IF(N2&gt;0,"不考核",IF(K2&gt;0,"B",IF(I2&gt;0,"A2",IF(I2=0,"学员",NA()))))</f>
        <v>学员</v>
      </c>
      <c r="D27" s="8" t="s">
        <v>537</v>
      </c>
      <c r="E27" s="8" t="s">
        <v>538</v>
      </c>
    </row>
    <row r="28" ht="31.2" spans="1:5">
      <c r="A28" s="8" t="s">
        <v>539</v>
      </c>
      <c r="B28" s="8" t="s">
        <v>39</v>
      </c>
      <c r="C28" s="8" t="e">
        <f>_xlfn.IFS(N2&gt;0,"完成考核",K2&gt;0,K2+390,I2&gt;0,I2+120)</f>
        <v>#N/A</v>
      </c>
      <c r="D28" s="8" t="s">
        <v>540</v>
      </c>
      <c r="E28" s="8" t="s">
        <v>541</v>
      </c>
    </row>
    <row r="29" ht="31.2" spans="1:5">
      <c r="A29" s="8" t="s">
        <v>542</v>
      </c>
      <c r="B29" s="8" t="s">
        <v>41</v>
      </c>
      <c r="C29" s="8" t="str">
        <f>IF($I2&gt;0,IF(K2&gt;0,DATEDIF(I2,K2,"m"),"未完成"),"学员")</f>
        <v>学员</v>
      </c>
      <c r="D29" s="8" t="s">
        <v>543</v>
      </c>
      <c r="E29" s="8" t="s">
        <v>544</v>
      </c>
    </row>
    <row r="30" spans="1:5">
      <c r="A30" s="8" t="s">
        <v>545</v>
      </c>
      <c r="B30" s="8" t="s">
        <v>43</v>
      </c>
      <c r="C30" s="8" t="str">
        <f>IF($I2&gt;0,IF(N2&gt;0,DATEDIF(I2,N2,"m"),"未完成"),"学员")</f>
        <v>学员</v>
      </c>
      <c r="D30" s="8" t="s">
        <v>546</v>
      </c>
      <c r="E30" s="8" t="s">
        <v>547</v>
      </c>
    </row>
    <row r="31" spans="1:5">
      <c r="A31" s="8" t="s">
        <v>548</v>
      </c>
      <c r="B31" s="8" t="s">
        <v>44</v>
      </c>
      <c r="C31" s="8" t="str">
        <f>IF($I2&gt;0,IF(N2&gt;0,DATEDIF(K2,N2,"m"),"未完成"),"学员")</f>
        <v>学员</v>
      </c>
      <c r="D31" s="8" t="s">
        <v>549</v>
      </c>
      <c r="E31" s="8" t="s">
        <v>550</v>
      </c>
    </row>
    <row r="32" spans="1:5">
      <c r="A32" s="8" t="s">
        <v>551</v>
      </c>
      <c r="B32" s="8" t="s">
        <v>46</v>
      </c>
      <c r="C32" s="8" t="str">
        <f>IF($I2&gt;0,IF(Q2&gt;0,DATEDIF(I2,Q2,"m"),"未完成"),"学员")</f>
        <v>学员</v>
      </c>
      <c r="D32" s="8" t="s">
        <v>552</v>
      </c>
      <c r="E32" s="8" t="s">
        <v>553</v>
      </c>
    </row>
    <row r="33" spans="1:5">
      <c r="A33" s="8" t="s">
        <v>554</v>
      </c>
      <c r="B33" s="8" t="s">
        <v>47</v>
      </c>
      <c r="C33" s="8" t="str">
        <f>IF($I2&gt;0,IF(Q2&gt;0,DATEDIF(N2,Q2,"m"),"未完成"),"学员")</f>
        <v>学员</v>
      </c>
      <c r="D33" s="8" t="s">
        <v>555</v>
      </c>
      <c r="E33" s="8" t="s">
        <v>556</v>
      </c>
    </row>
    <row r="34" spans="1:5">
      <c r="A34" s="8" t="s">
        <v>557</v>
      </c>
      <c r="B34" s="8" t="s">
        <v>50</v>
      </c>
      <c r="C34" s="8" t="str">
        <f>IF($I2&gt;0,IF(T2&gt;0,DATEDIF(I2,T2,"m"),"未完成"),"学员")</f>
        <v>学员</v>
      </c>
      <c r="D34" s="8" t="s">
        <v>558</v>
      </c>
      <c r="E34" s="8" t="s">
        <v>550</v>
      </c>
    </row>
    <row r="35" spans="1:5">
      <c r="A35" s="8" t="s">
        <v>559</v>
      </c>
      <c r="B35" s="8" t="s">
        <v>52</v>
      </c>
      <c r="C35" s="8" t="str">
        <f>IF($I2&gt;0,IF(V2&gt;0,DATEDIF(I2,V2,"m"),"未完成"),"学员")</f>
        <v>学员</v>
      </c>
      <c r="D35" s="8" t="s">
        <v>560</v>
      </c>
      <c r="E35" s="8" t="s">
        <v>561</v>
      </c>
    </row>
    <row r="36" spans="1:5">
      <c r="A36" s="8" t="s">
        <v>562</v>
      </c>
      <c r="B36" s="8" t="s">
        <v>54</v>
      </c>
      <c r="C36" s="8" t="str">
        <f>IF($I2&gt;0,IF(X2&gt;0,DATEDIF(I2,X2,"m"),"未完成"),"学员")</f>
        <v>学员</v>
      </c>
      <c r="D36" s="8" t="s">
        <v>563</v>
      </c>
      <c r="E36" s="8" t="s">
        <v>564</v>
      </c>
    </row>
    <row r="39" ht="17.4" spans="1:5">
      <c r="A39" s="3" t="s">
        <v>565</v>
      </c>
    </row>
    <row r="40" spans="1:5">
      <c r="A40" s="7" t="s">
        <v>492</v>
      </c>
      <c r="B40" s="7" t="s">
        <v>493</v>
      </c>
      <c r="C40" s="7" t="s">
        <v>525</v>
      </c>
      <c r="D40" s="7" t="s">
        <v>566</v>
      </c>
      <c r="E40" s="7" t="s">
        <v>567</v>
      </c>
    </row>
    <row r="41" spans="1:5">
      <c r="A41" s="8" t="s">
        <v>568</v>
      </c>
      <c r="B41" s="8" t="s">
        <v>569</v>
      </c>
      <c r="C41" s="8">
        <f>IF(Z2="是",5,0)</f>
        <v>0</v>
      </c>
      <c r="D41" s="8" t="s">
        <v>570</v>
      </c>
      <c r="E41" s="8" t="s">
        <v>241</v>
      </c>
    </row>
    <row r="42" spans="1:5">
      <c r="A42" s="8" t="s">
        <v>571</v>
      </c>
      <c r="B42" s="8" t="s">
        <v>572</v>
      </c>
      <c r="C42" s="8">
        <f>IF(AB2="是",10,0)</f>
        <v>0</v>
      </c>
      <c r="D42" s="8" t="s">
        <v>573</v>
      </c>
      <c r="E42" s="8" t="s">
        <v>239</v>
      </c>
    </row>
    <row r="43" spans="1:5">
      <c r="A43" s="8" t="s">
        <v>574</v>
      </c>
      <c r="B43" s="8" t="s">
        <v>575</v>
      </c>
      <c r="C43" s="8">
        <f>IF(AD2="是",5,0)</f>
        <v>0</v>
      </c>
      <c r="D43" s="8" t="s">
        <v>576</v>
      </c>
      <c r="E43" s="8" t="s">
        <v>241</v>
      </c>
    </row>
    <row r="44" spans="1:5">
      <c r="A44" s="8" t="s">
        <v>577</v>
      </c>
      <c r="B44" s="8" t="s">
        <v>578</v>
      </c>
      <c r="C44" s="8">
        <f>COUNTA(K2,N2,Q2,R2)*10</f>
        <v>0</v>
      </c>
      <c r="D44" s="8" t="s">
        <v>579</v>
      </c>
      <c r="E44" s="8" t="s">
        <v>580</v>
      </c>
    </row>
    <row r="45" spans="1:5">
      <c r="A45" s="8" t="s">
        <v>581</v>
      </c>
      <c r="B45" s="8" t="s">
        <v>62</v>
      </c>
      <c r="C45" s="8">
        <f ca="1">IF(N2&gt;0,DATEDIF(N2,TODAY(),"m"),0)</f>
        <v>0</v>
      </c>
      <c r="D45" s="8" t="s">
        <v>582</v>
      </c>
      <c r="E45" s="8" t="s">
        <v>583</v>
      </c>
    </row>
    <row r="46" spans="1:5">
      <c r="A46" s="8" t="s">
        <v>584</v>
      </c>
      <c r="B46" s="8" t="s">
        <v>585</v>
      </c>
      <c r="C46" s="8">
        <f>AG2*3</f>
        <v>0</v>
      </c>
      <c r="D46" s="8" t="s">
        <v>586</v>
      </c>
      <c r="E46" s="8" t="s">
        <v>587</v>
      </c>
    </row>
    <row r="47" spans="1:5">
      <c r="A47" s="8" t="s">
        <v>588</v>
      </c>
      <c r="B47" s="8" t="s">
        <v>63</v>
      </c>
      <c r="C47" s="8">
        <f ca="1">IF(Q2&gt;0,DATEDIF(Q2,TODAY(),"m"),0)</f>
        <v>0</v>
      </c>
      <c r="D47" s="8" t="s">
        <v>589</v>
      </c>
      <c r="E47" s="8" t="s">
        <v>590</v>
      </c>
    </row>
    <row r="48" spans="1:5">
      <c r="A48" s="8" t="s">
        <v>591</v>
      </c>
      <c r="B48" s="8" t="s">
        <v>592</v>
      </c>
      <c r="C48" s="8">
        <f>AI2*6</f>
        <v>0</v>
      </c>
      <c r="D48" s="8" t="s">
        <v>593</v>
      </c>
      <c r="E48" s="8" t="s">
        <v>594</v>
      </c>
    </row>
    <row r="49" spans="1:5">
      <c r="A49" s="8" t="s">
        <v>595</v>
      </c>
      <c r="B49" s="8" t="s">
        <v>596</v>
      </c>
      <c r="C49" s="8">
        <f>IF(T2&gt;0,10,0)</f>
        <v>0</v>
      </c>
      <c r="D49" s="8" t="s">
        <v>597</v>
      </c>
      <c r="E49" s="8" t="s">
        <v>239</v>
      </c>
    </row>
    <row r="50" spans="1:5">
      <c r="A50" s="8" t="s">
        <v>598</v>
      </c>
      <c r="B50" s="8" t="s">
        <v>64</v>
      </c>
      <c r="C50" s="8">
        <f ca="1">IF(T2&gt;0,DATEDIF(T2,TODAY(),"m"),0)</f>
        <v>0</v>
      </c>
      <c r="D50" s="8" t="s">
        <v>599</v>
      </c>
      <c r="E50" s="8" t="s">
        <v>600</v>
      </c>
    </row>
    <row r="51" spans="1:5">
      <c r="A51" s="8" t="s">
        <v>601</v>
      </c>
      <c r="B51" s="8" t="s">
        <v>602</v>
      </c>
      <c r="C51" s="8">
        <f>AL2*6</f>
        <v>0</v>
      </c>
      <c r="D51" s="8" t="s">
        <v>603</v>
      </c>
      <c r="E51" s="8" t="s">
        <v>604</v>
      </c>
    </row>
    <row r="52" spans="1:5">
      <c r="A52" s="8" t="s">
        <v>605</v>
      </c>
      <c r="B52" s="8" t="s">
        <v>606</v>
      </c>
      <c r="C52" s="8">
        <f>IF(V2&gt;0,10,0)</f>
        <v>0</v>
      </c>
      <c r="D52" s="8" t="s">
        <v>607</v>
      </c>
      <c r="E52" s="8" t="s">
        <v>239</v>
      </c>
    </row>
    <row r="53" spans="1:5">
      <c r="A53" s="8" t="s">
        <v>608</v>
      </c>
      <c r="B53" s="8" t="s">
        <v>65</v>
      </c>
      <c r="C53" s="8">
        <f ca="1">IF(V2&gt;0,DATEDIF(V2,TODAY(),"m"),0)</f>
        <v>0</v>
      </c>
      <c r="D53" s="8" t="s">
        <v>609</v>
      </c>
      <c r="E53" s="8" t="s">
        <v>610</v>
      </c>
    </row>
    <row r="54" spans="1:5">
      <c r="A54" s="8" t="s">
        <v>611</v>
      </c>
      <c r="B54" s="8" t="s">
        <v>612</v>
      </c>
      <c r="C54" s="8">
        <f>AO2*6</f>
        <v>0</v>
      </c>
      <c r="D54" s="8" t="s">
        <v>613</v>
      </c>
      <c r="E54" s="8" t="s">
        <v>614</v>
      </c>
    </row>
    <row r="55" spans="1:5">
      <c r="A55" s="8" t="s">
        <v>615</v>
      </c>
      <c r="B55" s="8" t="s">
        <v>616</v>
      </c>
      <c r="C55" s="8">
        <f>IF(X2&gt;0,10,0)</f>
        <v>0</v>
      </c>
      <c r="D55" s="8" t="s">
        <v>617</v>
      </c>
      <c r="E55" s="8" t="s">
        <v>239</v>
      </c>
    </row>
    <row r="56" spans="1:5">
      <c r="A56" s="8" t="s">
        <v>618</v>
      </c>
      <c r="B56" s="8" t="s">
        <v>66</v>
      </c>
      <c r="C56" s="8">
        <f ca="1">IF(X2&gt;0,DATEDIF(X2,TODAY(),"m"),0)</f>
        <v>0</v>
      </c>
      <c r="D56" s="8" t="s">
        <v>619</v>
      </c>
      <c r="E56" s="8" t="s">
        <v>620</v>
      </c>
    </row>
    <row r="57" spans="1:5">
      <c r="A57" s="8" t="s">
        <v>621</v>
      </c>
      <c r="B57" s="8" t="s">
        <v>622</v>
      </c>
      <c r="C57" s="8">
        <f>AR2*6</f>
        <v>0</v>
      </c>
      <c r="D57" s="8" t="s">
        <v>623</v>
      </c>
      <c r="E57" s="8" t="s">
        <v>624</v>
      </c>
    </row>
    <row r="58" spans="1:5">
      <c r="A58" s="8" t="s">
        <v>625</v>
      </c>
      <c r="B58" s="8" t="s">
        <v>67</v>
      </c>
      <c r="C58" s="8" t="e">
        <f>VLOOKUP(B2,经历时间!A:B,2,FALSE)</f>
        <v>#N/A</v>
      </c>
      <c r="D58" s="8" t="s">
        <v>626</v>
      </c>
      <c r="E58" s="8" t="s">
        <v>627</v>
      </c>
    </row>
    <row r="59" spans="1:5">
      <c r="A59" s="8" t="s">
        <v>628</v>
      </c>
      <c r="B59" s="8" t="s">
        <v>68</v>
      </c>
      <c r="C59" s="8">
        <f>IF(Q2&gt;0,AT2*0.1,0)</f>
        <v>0</v>
      </c>
      <c r="D59" s="8" t="s">
        <v>629</v>
      </c>
      <c r="E59" s="8" t="s">
        <v>624</v>
      </c>
    </row>
    <row r="60" spans="1:5">
      <c r="A60" s="8" t="s">
        <v>630</v>
      </c>
      <c r="B60" s="8" t="s">
        <v>631</v>
      </c>
      <c r="C60" s="8">
        <f ca="1">IF(I2&gt;0,DATEDIF(I2,TODAY(),"m"),0)</f>
        <v>0</v>
      </c>
      <c r="D60" s="8" t="s">
        <v>632</v>
      </c>
      <c r="E60" s="8" t="s">
        <v>633</v>
      </c>
    </row>
    <row r="61" spans="1:5">
      <c r="A61" s="8" t="s">
        <v>634</v>
      </c>
      <c r="B61" s="8" t="s">
        <v>72</v>
      </c>
      <c r="C61" s="8">
        <f ca="1">IFERROR(VLOOKUP(B2,'兼职+帮忙'!B:AF,28,FALSE),0)</f>
        <v>0</v>
      </c>
      <c r="D61" s="8" t="s">
        <v>635</v>
      </c>
      <c r="E61" s="8" t="s">
        <v>627</v>
      </c>
    </row>
    <row r="64" ht="17.4" spans="1:5">
      <c r="A64" s="3" t="s">
        <v>636</v>
      </c>
    </row>
    <row r="65" spans="1:5">
      <c r="A65" s="9" t="s">
        <v>637</v>
      </c>
    </row>
    <row r="66" spans="1:5">
      <c r="A66" s="10">
        <f>AA2+AC2+AE2+AH2+AJ2+AM2+AP2+AS2+AW2+AX2+AY2+AU2</f>
        <v>0</v>
      </c>
    </row>
    <row r="68" spans="1:5">
      <c r="A68" t="s">
        <v>638</v>
      </c>
    </row>
    <row r="70" ht="17.4" spans="1:5">
      <c r="A70" s="3" t="s">
        <v>639</v>
      </c>
    </row>
    <row r="71" spans="1:5">
      <c r="A71" s="4" t="s">
        <v>640</v>
      </c>
      <c r="B71" s="4" t="s">
        <v>641</v>
      </c>
      <c r="C71" s="4" t="s">
        <v>642</v>
      </c>
      <c r="D71" s="4" t="s">
        <v>643</v>
      </c>
      <c r="E71" s="4" t="s">
        <v>644</v>
      </c>
    </row>
    <row r="72" spans="1:5">
      <c r="A72" s="5" t="s">
        <v>544</v>
      </c>
      <c r="B72" s="5" t="s">
        <v>56</v>
      </c>
      <c r="C72" s="5" t="s">
        <v>645</v>
      </c>
      <c r="D72" s="5" t="s">
        <v>646</v>
      </c>
      <c r="E72" s="5" t="s">
        <v>647</v>
      </c>
    </row>
    <row r="73" spans="1:5">
      <c r="A73" s="5" t="s">
        <v>648</v>
      </c>
      <c r="B73" s="5" t="s">
        <v>649</v>
      </c>
      <c r="C73" s="5" t="s">
        <v>650</v>
      </c>
      <c r="D73" s="5" t="s">
        <v>651</v>
      </c>
      <c r="E73" s="5" t="s">
        <v>652</v>
      </c>
    </row>
    <row r="74" spans="1:5">
      <c r="A74" s="5" t="s">
        <v>653</v>
      </c>
      <c r="B74" s="5" t="s">
        <v>51</v>
      </c>
      <c r="C74" s="5" t="s">
        <v>654</v>
      </c>
      <c r="D74" s="5" t="s">
        <v>655</v>
      </c>
      <c r="E74" s="5" t="s">
        <v>652</v>
      </c>
    </row>
    <row r="75" spans="1:5">
      <c r="A75" s="5" t="s">
        <v>656</v>
      </c>
      <c r="B75" s="5" t="s">
        <v>53</v>
      </c>
      <c r="C75" s="5" t="s">
        <v>657</v>
      </c>
      <c r="D75" s="5" t="s">
        <v>658</v>
      </c>
      <c r="E75" s="5" t="s">
        <v>652</v>
      </c>
    </row>
    <row r="76" spans="1:5">
      <c r="A76" s="5" t="s">
        <v>659</v>
      </c>
      <c r="B76" s="5" t="s">
        <v>631</v>
      </c>
      <c r="C76" s="5" t="s">
        <v>660</v>
      </c>
      <c r="D76" s="5" t="s">
        <v>633</v>
      </c>
      <c r="E76" s="5" t="s">
        <v>652</v>
      </c>
    </row>
    <row r="77" spans="1:5">
      <c r="A77" s="5" t="s">
        <v>661</v>
      </c>
      <c r="B77" s="5" t="s">
        <v>63</v>
      </c>
      <c r="C77" s="5" t="s">
        <v>662</v>
      </c>
      <c r="D77" s="5" t="s">
        <v>590</v>
      </c>
      <c r="E77" s="5" t="s">
        <v>652</v>
      </c>
    </row>
    <row r="80" ht="17.4" spans="1:5">
      <c r="A80" s="3" t="s">
        <v>663</v>
      </c>
    </row>
    <row r="81" spans="1:4">
      <c r="A81" s="7" t="s">
        <v>664</v>
      </c>
      <c r="B81" s="7" t="s">
        <v>665</v>
      </c>
      <c r="C81" s="7" t="s">
        <v>666</v>
      </c>
      <c r="D81" s="7" t="s">
        <v>667</v>
      </c>
    </row>
    <row r="82" ht="31.2" spans="1:4">
      <c r="A82" s="8" t="s">
        <v>668</v>
      </c>
      <c r="B82" s="8" t="s">
        <v>669</v>
      </c>
      <c r="C82" s="8" t="s">
        <v>670</v>
      </c>
      <c r="D82" s="8" t="s">
        <v>671</v>
      </c>
    </row>
    <row r="83" spans="1:4">
      <c r="A83" s="8" t="s">
        <v>672</v>
      </c>
      <c r="B83" s="8" t="s">
        <v>673</v>
      </c>
      <c r="C83" s="8" t="s">
        <v>674</v>
      </c>
      <c r="D83" s="8" t="s">
        <v>675</v>
      </c>
    </row>
    <row r="84" spans="1:4">
      <c r="A84" s="8" t="s">
        <v>676</v>
      </c>
      <c r="B84" s="8" t="s">
        <v>677</v>
      </c>
      <c r="C84" s="8" t="s">
        <v>678</v>
      </c>
      <c r="D84" s="8" t="s">
        <v>679</v>
      </c>
    </row>
    <row r="85" spans="1:4">
      <c r="A85" s="8" t="s">
        <v>680</v>
      </c>
      <c r="B85" s="8" t="s">
        <v>681</v>
      </c>
      <c r="C85" s="8" t="s">
        <v>682</v>
      </c>
      <c r="D85" s="8" t="s">
        <v>683</v>
      </c>
    </row>
    <row r="86" ht="31.2" spans="1:4">
      <c r="A86" s="8" t="s">
        <v>684</v>
      </c>
      <c r="B86" s="8" t="s">
        <v>685</v>
      </c>
      <c r="C86" s="8" t="s">
        <v>686</v>
      </c>
      <c r="D86" s="8" t="s">
        <v>687</v>
      </c>
    </row>
    <row r="87" spans="1:4">
      <c r="A87" s="8" t="s">
        <v>688</v>
      </c>
      <c r="B87" s="8" t="s">
        <v>689</v>
      </c>
      <c r="C87" s="8" t="s">
        <v>690</v>
      </c>
      <c r="D87" s="8" t="s">
        <v>691</v>
      </c>
    </row>
    <row r="88" spans="1:4">
      <c r="A88" s="8" t="s">
        <v>692</v>
      </c>
      <c r="B88" s="8" t="s">
        <v>693</v>
      </c>
      <c r="C88" s="8" t="s">
        <v>694</v>
      </c>
      <c r="D88" s="8" t="s">
        <v>695</v>
      </c>
    </row>
    <row r="89" ht="31.2" spans="1:4">
      <c r="A89" s="8" t="s">
        <v>696</v>
      </c>
      <c r="B89" s="8" t="s">
        <v>697</v>
      </c>
      <c r="C89" s="8" t="s">
        <v>698</v>
      </c>
      <c r="D89" s="8" t="s">
        <v>699</v>
      </c>
    </row>
    <row r="90" spans="1:4">
      <c r="A90" s="8" t="s">
        <v>700</v>
      </c>
      <c r="B90" s="8" t="s">
        <v>701</v>
      </c>
      <c r="C90" s="8" t="s">
        <v>702</v>
      </c>
      <c r="D90" s="8" t="s">
        <v>703</v>
      </c>
    </row>
    <row r="93" ht="17.4" spans="1:4">
      <c r="A93" s="3" t="s">
        <v>704</v>
      </c>
    </row>
    <row r="94" spans="1:4">
      <c r="A94" s="4" t="s">
        <v>705</v>
      </c>
      <c r="B94" s="4" t="s">
        <v>706</v>
      </c>
    </row>
    <row r="95" spans="1:4">
      <c r="A95" s="5" t="s">
        <v>57</v>
      </c>
      <c r="B95" s="5" t="s">
        <v>241</v>
      </c>
    </row>
    <row r="96" spans="1:4">
      <c r="A96" s="5" t="s">
        <v>59</v>
      </c>
      <c r="B96" s="5" t="s">
        <v>239</v>
      </c>
    </row>
    <row r="97" spans="1:2">
      <c r="A97" s="5" t="s">
        <v>60</v>
      </c>
      <c r="B97" s="5" t="s">
        <v>241</v>
      </c>
    </row>
    <row r="98" spans="1:2">
      <c r="A98" s="5" t="s">
        <v>707</v>
      </c>
      <c r="B98" s="5" t="s">
        <v>708</v>
      </c>
    </row>
    <row r="99" spans="1:2">
      <c r="A99" s="5" t="s">
        <v>709</v>
      </c>
      <c r="B99" s="5" t="s">
        <v>710</v>
      </c>
    </row>
    <row r="100" spans="1:2">
      <c r="A100" s="5" t="s">
        <v>711</v>
      </c>
      <c r="B100" s="5" t="s">
        <v>712</v>
      </c>
    </row>
    <row r="101" spans="1:2">
      <c r="A101" s="5" t="s">
        <v>713</v>
      </c>
      <c r="B101" s="5" t="s">
        <v>714</v>
      </c>
    </row>
    <row r="102" spans="1:2">
      <c r="A102" s="5" t="s">
        <v>715</v>
      </c>
      <c r="B102" s="5" t="s">
        <v>712</v>
      </c>
    </row>
    <row r="103" spans="1:2">
      <c r="A103" s="5" t="s">
        <v>716</v>
      </c>
      <c r="B103" s="5" t="s">
        <v>714</v>
      </c>
    </row>
    <row r="104" spans="1:2">
      <c r="A104" s="5" t="s">
        <v>717</v>
      </c>
      <c r="B104" s="5" t="s">
        <v>712</v>
      </c>
    </row>
    <row r="105" spans="1:2">
      <c r="A105" s="5" t="s">
        <v>718</v>
      </c>
      <c r="B105" s="5" t="s">
        <v>714</v>
      </c>
    </row>
    <row r="106" spans="1:2">
      <c r="A106" s="5" t="s">
        <v>719</v>
      </c>
      <c r="B106" s="5" t="s">
        <v>712</v>
      </c>
    </row>
    <row r="107" spans="1:2">
      <c r="A107" s="5" t="s">
        <v>720</v>
      </c>
      <c r="B107" s="5" t="s">
        <v>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计算说明</vt:lpstr>
      <vt:lpstr>总表</vt:lpstr>
      <vt:lpstr>兼职+帮忙</vt:lpstr>
      <vt:lpstr>经历时间</vt:lpstr>
      <vt:lpstr>西亚报务获得时间</vt:lpstr>
      <vt:lpstr>姓名+分部</vt:lpstr>
      <vt:lpstr>公式说明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何誉杰</dc:creator>
  <cp:lastModifiedBy>大喷菇</cp:lastModifiedBy>
  <dcterms:created xsi:type="dcterms:W3CDTF">2024-06-12T07:26:00Z</dcterms:created>
  <dcterms:modified xsi:type="dcterms:W3CDTF">2026-01-16T08:33:57Z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9FFA4BEBFDCC4D919F64B1D444FA9F32_13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